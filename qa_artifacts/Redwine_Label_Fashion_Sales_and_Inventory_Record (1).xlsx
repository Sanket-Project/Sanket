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ales Ledger" sheetId="2" state="visible" r:id="rId2"/>
    <sheet xmlns:r="http://schemas.openxmlformats.org/officeDocument/2006/relationships" name="Warehouse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,##0"/>
  </numFmts>
  <fonts count="9">
    <font>
      <name val="Calibri"/>
      <family val="2"/>
      <color theme="1"/>
      <sz val="11"/>
      <scheme val="minor"/>
    </font>
    <font>
      <name val="Segoe UI"/>
      <b val="1"/>
      <color rgb="004A1525"/>
      <sz val="16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4A1525"/>
      <sz val="18"/>
    </font>
    <font>
      <name val="Segoe UI"/>
      <b val="1"/>
      <color rgb="004A1525"/>
      <sz val="13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5">
    <fill>
      <patternFill/>
    </fill>
    <fill>
      <patternFill patternType="gray125"/>
    </fill>
    <fill>
      <patternFill patternType="solid">
        <fgColor rgb="00F0E4E7"/>
        <bgColor rgb="00F0E4E7"/>
      </patternFill>
    </fill>
    <fill>
      <patternFill patternType="solid">
        <fgColor rgb="004A1525"/>
        <bgColor rgb="004A1525"/>
      </patternFill>
    </fill>
    <fill>
      <patternFill patternType="solid">
        <fgColor rgb="00FBF6F7"/>
        <bgColor rgb="00FBF6F7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4A1525"/>
      </top>
      <bottom style="medium">
        <color rgb="004A1525"/>
      </bottom>
    </border>
    <border>
      <top style="thin">
        <color rgb="00D9D9D9"/>
      </top>
      <bottom style="double">
        <color rgb="004A1525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4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/>
    </xf>
    <xf numFmtId="3" fontId="7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8" fillId="0" borderId="3" pivotButton="0" quotePrefix="0" xfId="0"/>
    <xf numFmtId="0" fontId="0" fillId="0" borderId="3" pivotButton="0" quotePrefix="0" xfId="0"/>
    <xf numFmtId="3" fontId="8" fillId="0" borderId="3" pivotButton="0" quotePrefix="0" xfId="0"/>
    <xf numFmtId="164" fontId="8" fillId="0" borderId="3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Segoe UI"/>
        <b val="1"/>
        <color rgb="00C65911"/>
        <sz val="10"/>
      </font>
      <fill>
        <patternFill patternType="solid">
          <fgColor rgb="00FCE4D6"/>
          <bgColor rgb="00FCE4D6"/>
        </patternFill>
      </fill>
    </dxf>
    <dxf>
      <font>
        <name val="Segoe UI"/>
        <b val="1"/>
        <color rgb="00375623"/>
        <sz val="10"/>
      </font>
      <fill>
        <patternFill patternType="solid">
          <fgColor rgb="00E2EFDA"/>
          <b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0" customWidth="1" min="3" max="3"/>
    <col width="20" customWidth="1" min="4" max="4"/>
    <col width="22" customWidth="1" min="5" max="5"/>
    <col width="22" customWidth="1" min="6" max="6"/>
    <col width="23" customWidth="1" min="7" max="7"/>
    <col width="12" customWidth="1" min="8" max="8"/>
  </cols>
  <sheetData>
    <row r="1" ht="15" customHeight="1"/>
    <row r="2" ht="35" customHeight="1">
      <c r="A2" s="1" t="inlineStr">
        <is>
          <t>REDWINE.LABEL — ANNUAL PERFORMANCE DASHBOARD</t>
        </is>
      </c>
    </row>
    <row r="3" ht="15" customHeight="1">
      <c r="A3" s="2" t="inlineStr">
        <is>
          <t>FY 2025-2026 Sales &amp; Warehouse Inventory Report | Generated July 16, 2026</t>
        </is>
      </c>
    </row>
    <row r="4"/>
    <row r="5">
      <c r="A5" s="3" t="inlineStr">
        <is>
          <t>TOTAL REVENUE</t>
        </is>
      </c>
      <c r="B5" s="4" t="n"/>
      <c r="D5" s="3" t="inlineStr">
        <is>
          <t>TOTAL GROSS PROFIT</t>
        </is>
      </c>
      <c r="E5" s="4" t="n"/>
      <c r="G5" s="3" t="inlineStr">
        <is>
          <t>TOTAL STOCK ON HAND</t>
        </is>
      </c>
      <c r="H5" s="4" t="n"/>
    </row>
    <row r="6">
      <c r="A6" s="5">
        <f>SUM('Sales Ledger'!J2:J501)</f>
        <v/>
      </c>
      <c r="B6" s="4" t="n"/>
      <c r="D6" s="5">
        <f>SUM('Sales Ledger'!M2:M501)</f>
        <v/>
      </c>
      <c r="E6" s="4" t="n"/>
      <c r="G6" s="6">
        <f>SUM('Warehouse Inventory'!H2:H151)</f>
        <v/>
      </c>
      <c r="H6" s="4" t="n"/>
    </row>
    <row r="7"/>
    <row r="8"/>
    <row r="9">
      <c r="A9" s="7" t="inlineStr">
        <is>
          <t>Warehouse Inventory Breakdown</t>
        </is>
      </c>
    </row>
    <row r="10" ht="25" customHeight="1">
      <c r="A10" s="8" t="inlineStr">
        <is>
          <t>Warehouse Code</t>
        </is>
      </c>
      <c r="B10" s="8" t="inlineStr">
        <is>
          <t>Location</t>
        </is>
      </c>
      <c r="C10" s="8" t="inlineStr">
        <is>
          <t>Total SKUs Stocked</t>
        </is>
      </c>
      <c r="D10" s="8" t="inlineStr">
        <is>
          <t>Units On Hand</t>
        </is>
      </c>
      <c r="E10" s="8" t="inlineStr">
        <is>
          <t>Inventory Value (Cost)</t>
        </is>
      </c>
      <c r="F10" s="8" t="inlineStr">
        <is>
          <t>Est. Retail Value</t>
        </is>
      </c>
    </row>
    <row r="11" ht="20" customHeight="1">
      <c r="A11" s="9" t="inlineStr">
        <is>
          <t>WH-HYD-01</t>
        </is>
      </c>
      <c r="B11" s="9" t="inlineStr">
        <is>
          <t>Hyderabad (Telangana)</t>
        </is>
      </c>
      <c r="C11" s="10">
        <f>COUNTIF('Warehouse Inventory'!F2:F151, "WH-HYD-01")</f>
        <v/>
      </c>
      <c r="D11" s="10">
        <f>SUMIF('Warehouse Inventory'!F2:F151, "WH-HYD-01", 'Warehouse Inventory'!H2:H151)</f>
        <v/>
      </c>
      <c r="E11" s="11">
        <f>SUMPRODUCT(('Warehouse Inventory'!$F$2:$F$151="WH-HYD-01")*('Warehouse Inventory'!$H$2:$H$151)*('Warehouse Inventory'!$J$2:$J$151))</f>
        <v/>
      </c>
      <c r="F11" s="11">
        <f>SUMPRODUCT(('Warehouse Inventory'!$F$2:$F$151="WH-HYD-01")*('Warehouse Inventory'!$H$2:$H$151)*('Warehouse Inventory'!$K$2:$K$151))</f>
        <v/>
      </c>
    </row>
    <row r="12" ht="20" customHeight="1">
      <c r="A12" s="12" t="inlineStr">
        <is>
          <t>WH-BLR-02</t>
        </is>
      </c>
      <c r="B12" s="12" t="inlineStr">
        <is>
          <t>Bengaluru (Karnataka)</t>
        </is>
      </c>
      <c r="C12" s="13">
        <f>COUNTIF('Warehouse Inventory'!F2:F151, "WH-BLR-02")</f>
        <v/>
      </c>
      <c r="D12" s="13">
        <f>SUMIF('Warehouse Inventory'!F2:F151, "WH-BLR-02", 'Warehouse Inventory'!H2:H151)</f>
        <v/>
      </c>
      <c r="E12" s="14">
        <f>SUMPRODUCT(('Warehouse Inventory'!$F$2:$F$151="WH-BLR-02")*('Warehouse Inventory'!$H$2:$H$151)*('Warehouse Inventory'!$J$2:$J$151))</f>
        <v/>
      </c>
      <c r="F12" s="14">
        <f>SUMPRODUCT(('Warehouse Inventory'!$F$2:$F$151="WH-BLR-02")*('Warehouse Inventory'!$H$2:$H$151)*('Warehouse Inventory'!$K$2:$K$151))</f>
        <v/>
      </c>
    </row>
    <row r="13" ht="20" customHeight="1">
      <c r="A13" s="9" t="inlineStr">
        <is>
          <t>WH-DEL-03</t>
        </is>
      </c>
      <c r="B13" s="9" t="inlineStr">
        <is>
          <t>Delhi NCR (Haryana)</t>
        </is>
      </c>
      <c r="C13" s="10">
        <f>COUNTIF('Warehouse Inventory'!F2:F151, "WH-DEL-03")</f>
        <v/>
      </c>
      <c r="D13" s="10">
        <f>SUMIF('Warehouse Inventory'!F2:F151, "WH-DEL-03", 'Warehouse Inventory'!H2:H151)</f>
        <v/>
      </c>
      <c r="E13" s="11">
        <f>SUMPRODUCT(('Warehouse Inventory'!$F$2:$F$151="WH-DEL-03")*('Warehouse Inventory'!$H$2:$H$151)*('Warehouse Inventory'!$J$2:$J$151))</f>
        <v/>
      </c>
      <c r="F13" s="11">
        <f>SUMPRODUCT(('Warehouse Inventory'!$F$2:$F$151="WH-DEL-03")*('Warehouse Inventory'!$H$2:$H$151)*('Warehouse Inventory'!$K$2:$K$151))</f>
        <v/>
      </c>
    </row>
    <row r="14" ht="22" customHeight="1">
      <c r="A14" s="15" t="inlineStr">
        <is>
          <t>Total Network Stock</t>
        </is>
      </c>
      <c r="B14" s="16" t="n"/>
      <c r="C14" s="17">
        <f>SUM(C11:C13)</f>
        <v/>
      </c>
      <c r="D14" s="17">
        <f>SUM(D11:D13)</f>
        <v/>
      </c>
      <c r="E14" s="18">
        <f>SUM(E11:E13)</f>
        <v/>
      </c>
      <c r="F14" s="18">
        <f>SUM(F11:F13)</f>
        <v/>
      </c>
    </row>
  </sheetData>
  <mergeCells count="6">
    <mergeCell ref="D6:E6"/>
    <mergeCell ref="D5:E5"/>
    <mergeCell ref="A5:B5"/>
    <mergeCell ref="G5:H5"/>
    <mergeCell ref="G6:H6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4" customWidth="1" min="4" max="4"/>
    <col width="29" customWidth="1" min="5" max="5"/>
    <col width="13" customWidth="1" min="6" max="6"/>
    <col width="12" customWidth="1" min="7" max="7"/>
    <col width="20" customWidth="1" min="8" max="8"/>
    <col width="21" customWidth="1" min="9" max="9"/>
    <col width="18" customWidth="1" min="10" max="10"/>
    <col width="21" customWidth="1" min="11" max="11"/>
    <col width="23" customWidth="1" min="12" max="12"/>
    <col width="29" customWidth="1" min="13" max="13"/>
    <col width="25" customWidth="1" min="14" max="14"/>
    <col width="17" customWidth="1" min="15" max="15"/>
  </cols>
  <sheetData>
    <row r="1" ht="28" customHeight="1">
      <c r="A1" s="19" t="inlineStr">
        <is>
          <t>Order ID</t>
        </is>
      </c>
      <c r="B1" s="19" t="inlineStr">
        <is>
          <t>Order Date</t>
        </is>
      </c>
      <c r="C1" s="19" t="inlineStr">
        <is>
          <t>SKU</t>
        </is>
      </c>
      <c r="D1" s="19" t="inlineStr">
        <is>
          <t>Product ID</t>
        </is>
      </c>
      <c r="E1" s="19" t="inlineStr">
        <is>
          <t>Product Name</t>
        </is>
      </c>
      <c r="F1" s="19" t="inlineStr">
        <is>
          <t>Category</t>
        </is>
      </c>
      <c r="G1" s="19" t="inlineStr">
        <is>
          <t>Size</t>
        </is>
      </c>
      <c r="H1" s="19" t="inlineStr">
        <is>
          <t>Quantity Ordered</t>
        </is>
      </c>
      <c r="I1" s="19" t="inlineStr">
        <is>
          <t>Unit Retail Price</t>
        </is>
      </c>
      <c r="J1" s="19" t="inlineStr">
        <is>
          <t>Total Revenue</t>
        </is>
      </c>
      <c r="K1" s="19" t="inlineStr">
        <is>
          <t>Unit Product Cost</t>
        </is>
      </c>
      <c r="L1" s="19" t="inlineStr">
        <is>
          <t>Total Cost of Goods</t>
        </is>
      </c>
      <c r="M1" s="19" t="inlineStr">
        <is>
          <t>Gross Profit Contribution</t>
        </is>
      </c>
      <c r="N1" s="19" t="inlineStr">
        <is>
          <t>Fulfillment Warehouse</t>
        </is>
      </c>
      <c r="O1" s="19" t="inlineStr">
        <is>
          <t>Sales Channel</t>
        </is>
      </c>
    </row>
    <row r="2" ht="19" customHeight="1">
      <c r="A2" s="20" t="inlineStr">
        <is>
          <t>ORD-2025381</t>
        </is>
      </c>
      <c r="B2" s="20" t="inlineStr">
        <is>
          <t>2025-07-15</t>
        </is>
      </c>
      <c r="C2" s="20" t="inlineStr">
        <is>
          <t>PD-008-XL</t>
        </is>
      </c>
      <c r="D2" s="20" t="inlineStr">
        <is>
          <t>PD-008</t>
        </is>
      </c>
      <c r="E2" s="9" t="inlineStr">
        <is>
          <t>Tuscan Sun Silk Skirt</t>
        </is>
      </c>
      <c r="F2" s="9" t="inlineStr">
        <is>
          <t>Skirts</t>
        </is>
      </c>
      <c r="G2" s="20" t="inlineStr">
        <is>
          <t>XL</t>
        </is>
      </c>
      <c r="H2" s="10" t="n">
        <v>3</v>
      </c>
      <c r="I2" s="11" t="n">
        <v>4500</v>
      </c>
      <c r="J2" s="11">
        <f>H2*I2</f>
        <v/>
      </c>
      <c r="K2" s="11" t="n">
        <v>1600</v>
      </c>
      <c r="L2" s="11">
        <f>H2*K2</f>
        <v/>
      </c>
      <c r="M2" s="11">
        <f>J2-L2</f>
        <v/>
      </c>
      <c r="N2" s="20" t="inlineStr">
        <is>
          <t>WH-HYD-01</t>
        </is>
      </c>
      <c r="O2" s="20" t="inlineStr">
        <is>
          <t>Mobile App</t>
        </is>
      </c>
    </row>
    <row r="3" ht="19" customHeight="1">
      <c r="A3" s="21" t="inlineStr">
        <is>
          <t>ORD-2025058</t>
        </is>
      </c>
      <c r="B3" s="21" t="inlineStr">
        <is>
          <t>2025-07-16</t>
        </is>
      </c>
      <c r="C3" s="21" t="inlineStr">
        <is>
          <t>PD-005-S</t>
        </is>
      </c>
      <c r="D3" s="21" t="inlineStr">
        <is>
          <t>PD-005</t>
        </is>
      </c>
      <c r="E3" s="12" t="inlineStr">
        <is>
          <t>Shiraz Wrap Evening Dress</t>
        </is>
      </c>
      <c r="F3" s="12" t="inlineStr">
        <is>
          <t>Dresses</t>
        </is>
      </c>
      <c r="G3" s="21" t="inlineStr">
        <is>
          <t>S</t>
        </is>
      </c>
      <c r="H3" s="13" t="n">
        <v>2</v>
      </c>
      <c r="I3" s="14" t="n">
        <v>9200</v>
      </c>
      <c r="J3" s="14">
        <f>H3*I3</f>
        <v/>
      </c>
      <c r="K3" s="14" t="n">
        <v>3500</v>
      </c>
      <c r="L3" s="14">
        <f>H3*K3</f>
        <v/>
      </c>
      <c r="M3" s="14">
        <f>J3-L3</f>
        <v/>
      </c>
      <c r="N3" s="21" t="inlineStr">
        <is>
          <t>WH-DEL-03</t>
        </is>
      </c>
      <c r="O3" s="21" t="inlineStr">
        <is>
          <t>Retail Store</t>
        </is>
      </c>
    </row>
    <row r="4" ht="19" customHeight="1">
      <c r="A4" s="20" t="inlineStr">
        <is>
          <t>ORD-2025266</t>
        </is>
      </c>
      <c r="B4" s="20" t="inlineStr">
        <is>
          <t>2025-07-16</t>
        </is>
      </c>
      <c r="C4" s="20" t="inlineStr">
        <is>
          <t>PD-004-M</t>
        </is>
      </c>
      <c r="D4" s="20" t="inlineStr">
        <is>
          <t>PD-004</t>
        </is>
      </c>
      <c r="E4" s="9" t="inlineStr">
        <is>
          <t>Rosé Off-Shoulder Mini</t>
        </is>
      </c>
      <c r="F4" s="9" t="inlineStr">
        <is>
          <t>Dresses</t>
        </is>
      </c>
      <c r="G4" s="20" t="inlineStr">
        <is>
          <t>M</t>
        </is>
      </c>
      <c r="H4" s="10" t="n">
        <v>2</v>
      </c>
      <c r="I4" s="11" t="n">
        <v>4900</v>
      </c>
      <c r="J4" s="11">
        <f>H4*I4</f>
        <v/>
      </c>
      <c r="K4" s="11" t="n">
        <v>1800</v>
      </c>
      <c r="L4" s="11">
        <f>H4*K4</f>
        <v/>
      </c>
      <c r="M4" s="11">
        <f>J4-L4</f>
        <v/>
      </c>
      <c r="N4" s="20" t="inlineStr">
        <is>
          <t>WH-HYD-01</t>
        </is>
      </c>
      <c r="O4" s="20" t="inlineStr">
        <is>
          <t>Mobile App</t>
        </is>
      </c>
    </row>
    <row r="5" ht="19" customHeight="1">
      <c r="A5" s="21" t="inlineStr">
        <is>
          <t>ORD-2025298</t>
        </is>
      </c>
      <c r="B5" s="21" t="inlineStr">
        <is>
          <t>2025-07-18</t>
        </is>
      </c>
      <c r="C5" s="21" t="inlineStr">
        <is>
          <t>PD-003-S</t>
        </is>
      </c>
      <c r="D5" s="21" t="inlineStr">
        <is>
          <t>PD-003</t>
        </is>
      </c>
      <c r="E5" s="12" t="inlineStr">
        <is>
          <t>Bordeaux Lace Midi</t>
        </is>
      </c>
      <c r="F5" s="12" t="inlineStr">
        <is>
          <t>Dresses</t>
        </is>
      </c>
      <c r="G5" s="21" t="inlineStr">
        <is>
          <t>S</t>
        </is>
      </c>
      <c r="H5" s="13" t="n">
        <v>2</v>
      </c>
      <c r="I5" s="14" t="n">
        <v>7800</v>
      </c>
      <c r="J5" s="14">
        <f>H5*I5</f>
        <v/>
      </c>
      <c r="K5" s="14" t="n">
        <v>2800</v>
      </c>
      <c r="L5" s="14">
        <f>H5*K5</f>
        <v/>
      </c>
      <c r="M5" s="14">
        <f>J5-L5</f>
        <v/>
      </c>
      <c r="N5" s="21" t="inlineStr">
        <is>
          <t>WH-DEL-03</t>
        </is>
      </c>
      <c r="O5" s="21" t="inlineStr">
        <is>
          <t>Mobile App</t>
        </is>
      </c>
    </row>
    <row r="6" ht="19" customHeight="1">
      <c r="A6" s="20" t="inlineStr">
        <is>
          <t>ORD-2025052</t>
        </is>
      </c>
      <c r="B6" s="20" t="inlineStr">
        <is>
          <t>2025-07-19</t>
        </is>
      </c>
      <c r="C6" s="20" t="inlineStr">
        <is>
          <t>PD-009-M</t>
        </is>
      </c>
      <c r="D6" s="20" t="inlineStr">
        <is>
          <t>PD-009</t>
        </is>
      </c>
      <c r="E6" s="9" t="inlineStr">
        <is>
          <t>Syrah Pleated Maxi Skirt</t>
        </is>
      </c>
      <c r="F6" s="9" t="inlineStr">
        <is>
          <t>Skirts</t>
        </is>
      </c>
      <c r="G6" s="20" t="inlineStr">
        <is>
          <t>M</t>
        </is>
      </c>
      <c r="H6" s="10" t="n">
        <v>5</v>
      </c>
      <c r="I6" s="11" t="n">
        <v>5400</v>
      </c>
      <c r="J6" s="11">
        <f>H6*I6</f>
        <v/>
      </c>
      <c r="K6" s="11" t="n">
        <v>1900</v>
      </c>
      <c r="L6" s="11">
        <f>H6*K6</f>
        <v/>
      </c>
      <c r="M6" s="11">
        <f>J6-L6</f>
        <v/>
      </c>
      <c r="N6" s="20" t="inlineStr">
        <is>
          <t>WH-BLR-02</t>
        </is>
      </c>
      <c r="O6" s="20" t="inlineStr">
        <is>
          <t>Mobile App</t>
        </is>
      </c>
    </row>
    <row r="7" ht="19" customHeight="1">
      <c r="A7" s="21" t="inlineStr">
        <is>
          <t>ORD-2025229</t>
        </is>
      </c>
      <c r="B7" s="21" t="inlineStr">
        <is>
          <t>2025-07-19</t>
        </is>
      </c>
      <c r="C7" s="21" t="inlineStr">
        <is>
          <t>PD-006-XL</t>
        </is>
      </c>
      <c r="D7" s="21" t="inlineStr">
        <is>
          <t>PD-006</t>
        </is>
      </c>
      <c r="E7" s="12" t="inlineStr">
        <is>
          <t>Chiffon Crimson Blouse</t>
        </is>
      </c>
      <c r="F7" s="12" t="inlineStr">
        <is>
          <t>Tops</t>
        </is>
      </c>
      <c r="G7" s="21" t="inlineStr">
        <is>
          <t>XL</t>
        </is>
      </c>
      <c r="H7" s="13" t="n">
        <v>3</v>
      </c>
      <c r="I7" s="14" t="n">
        <v>3200</v>
      </c>
      <c r="J7" s="14">
        <f>H7*I7</f>
        <v/>
      </c>
      <c r="K7" s="14" t="n">
        <v>1100</v>
      </c>
      <c r="L7" s="14">
        <f>H7*K7</f>
        <v/>
      </c>
      <c r="M7" s="14">
        <f>J7-L7</f>
        <v/>
      </c>
      <c r="N7" s="21" t="inlineStr">
        <is>
          <t>WH-DEL-03</t>
        </is>
      </c>
      <c r="O7" s="21" t="inlineStr">
        <is>
          <t>Mobile App</t>
        </is>
      </c>
    </row>
    <row r="8" ht="19" customHeight="1">
      <c r="A8" s="20" t="inlineStr">
        <is>
          <t>ORD-2025135</t>
        </is>
      </c>
      <c r="B8" s="20" t="inlineStr">
        <is>
          <t>2025-07-21</t>
        </is>
      </c>
      <c r="C8" s="20" t="inlineStr">
        <is>
          <t>PD-006-S</t>
        </is>
      </c>
      <c r="D8" s="20" t="inlineStr">
        <is>
          <t>PD-006</t>
        </is>
      </c>
      <c r="E8" s="9" t="inlineStr">
        <is>
          <t>Chiffon Crimson Blouse</t>
        </is>
      </c>
      <c r="F8" s="9" t="inlineStr">
        <is>
          <t>Tops</t>
        </is>
      </c>
      <c r="G8" s="20" t="inlineStr">
        <is>
          <t>S</t>
        </is>
      </c>
      <c r="H8" s="10" t="n">
        <v>4</v>
      </c>
      <c r="I8" s="11" t="n">
        <v>3200</v>
      </c>
      <c r="J8" s="11">
        <f>H8*I8</f>
        <v/>
      </c>
      <c r="K8" s="11" t="n">
        <v>1100</v>
      </c>
      <c r="L8" s="11">
        <f>H8*K8</f>
        <v/>
      </c>
      <c r="M8" s="11">
        <f>J8-L8</f>
        <v/>
      </c>
      <c r="N8" s="20" t="inlineStr">
        <is>
          <t>WH-HYD-01</t>
        </is>
      </c>
      <c r="O8" s="20" t="inlineStr">
        <is>
          <t>Retail Store</t>
        </is>
      </c>
    </row>
    <row r="9" ht="19" customHeight="1">
      <c r="A9" s="21" t="inlineStr">
        <is>
          <t>ORD-2025032</t>
        </is>
      </c>
      <c r="B9" s="21" t="inlineStr">
        <is>
          <t>2025-07-22</t>
        </is>
      </c>
      <c r="C9" s="21" t="inlineStr">
        <is>
          <t>PD-002-XS</t>
        </is>
      </c>
      <c r="D9" s="21" t="inlineStr">
        <is>
          <t>PD-002</t>
        </is>
      </c>
      <c r="E9" s="12" t="inlineStr">
        <is>
          <t>Merlot Satin Slip Dress</t>
        </is>
      </c>
      <c r="F9" s="12" t="inlineStr">
        <is>
          <t>Dresses</t>
        </is>
      </c>
      <c r="G9" s="21" t="inlineStr">
        <is>
          <t>XS</t>
        </is>
      </c>
      <c r="H9" s="13" t="n">
        <v>2</v>
      </c>
      <c r="I9" s="14" t="n">
        <v>6200</v>
      </c>
      <c r="J9" s="14">
        <f>H9*I9</f>
        <v/>
      </c>
      <c r="K9" s="14" t="n">
        <v>2100</v>
      </c>
      <c r="L9" s="14">
        <f>H9*K9</f>
        <v/>
      </c>
      <c r="M9" s="14">
        <f>J9-L9</f>
        <v/>
      </c>
      <c r="N9" s="21" t="inlineStr">
        <is>
          <t>WH-HYD-01</t>
        </is>
      </c>
      <c r="O9" s="21" t="inlineStr">
        <is>
          <t>Retail Store</t>
        </is>
      </c>
    </row>
    <row r="10" ht="19" customHeight="1">
      <c r="A10" s="20" t="inlineStr">
        <is>
          <t>ORD-2025386</t>
        </is>
      </c>
      <c r="B10" s="20" t="inlineStr">
        <is>
          <t>2025-07-23</t>
        </is>
      </c>
      <c r="C10" s="20" t="inlineStr">
        <is>
          <t>PD-005-M</t>
        </is>
      </c>
      <c r="D10" s="20" t="inlineStr">
        <is>
          <t>PD-005</t>
        </is>
      </c>
      <c r="E10" s="9" t="inlineStr">
        <is>
          <t>Shiraz Wrap Evening Dress</t>
        </is>
      </c>
      <c r="F10" s="9" t="inlineStr">
        <is>
          <t>Dresses</t>
        </is>
      </c>
      <c r="G10" s="20" t="inlineStr">
        <is>
          <t>M</t>
        </is>
      </c>
      <c r="H10" s="10" t="n">
        <v>1</v>
      </c>
      <c r="I10" s="11" t="n">
        <v>9200</v>
      </c>
      <c r="J10" s="11">
        <f>H10*I10</f>
        <v/>
      </c>
      <c r="K10" s="11" t="n">
        <v>3500</v>
      </c>
      <c r="L10" s="11">
        <f>H10*K10</f>
        <v/>
      </c>
      <c r="M10" s="11">
        <f>J10-L10</f>
        <v/>
      </c>
      <c r="N10" s="20" t="inlineStr">
        <is>
          <t>WH-BLR-02</t>
        </is>
      </c>
      <c r="O10" s="20" t="inlineStr">
        <is>
          <t>Online Store</t>
        </is>
      </c>
    </row>
    <row r="11" ht="19" customHeight="1">
      <c r="A11" s="21" t="inlineStr">
        <is>
          <t>ORD-2025470</t>
        </is>
      </c>
      <c r="B11" s="21" t="inlineStr">
        <is>
          <t>2025-07-23</t>
        </is>
      </c>
      <c r="C11" s="21" t="inlineStr">
        <is>
          <t>PD-005-L</t>
        </is>
      </c>
      <c r="D11" s="21" t="inlineStr">
        <is>
          <t>PD-005</t>
        </is>
      </c>
      <c r="E11" s="12" t="inlineStr">
        <is>
          <t>Shiraz Wrap Evening Dress</t>
        </is>
      </c>
      <c r="F11" s="12" t="inlineStr">
        <is>
          <t>Dresses</t>
        </is>
      </c>
      <c r="G11" s="21" t="inlineStr">
        <is>
          <t>L</t>
        </is>
      </c>
      <c r="H11" s="13" t="n">
        <v>3</v>
      </c>
      <c r="I11" s="14" t="n">
        <v>9200</v>
      </c>
      <c r="J11" s="14">
        <f>H11*I11</f>
        <v/>
      </c>
      <c r="K11" s="14" t="n">
        <v>3500</v>
      </c>
      <c r="L11" s="14">
        <f>H11*K11</f>
        <v/>
      </c>
      <c r="M11" s="14">
        <f>J11-L11</f>
        <v/>
      </c>
      <c r="N11" s="21" t="inlineStr">
        <is>
          <t>WH-DEL-03</t>
        </is>
      </c>
      <c r="O11" s="21" t="inlineStr">
        <is>
          <t>Online Store</t>
        </is>
      </c>
    </row>
    <row r="12" ht="19" customHeight="1">
      <c r="A12" s="20" t="inlineStr">
        <is>
          <t>ORD-2025067</t>
        </is>
      </c>
      <c r="B12" s="20" t="inlineStr">
        <is>
          <t>2025-07-27</t>
        </is>
      </c>
      <c r="C12" s="20" t="inlineStr">
        <is>
          <t>PD-003-S</t>
        </is>
      </c>
      <c r="D12" s="20" t="inlineStr">
        <is>
          <t>PD-003</t>
        </is>
      </c>
      <c r="E12" s="9" t="inlineStr">
        <is>
          <t>Bordeaux Lace Midi</t>
        </is>
      </c>
      <c r="F12" s="9" t="inlineStr">
        <is>
          <t>Dresses</t>
        </is>
      </c>
      <c r="G12" s="20" t="inlineStr">
        <is>
          <t>S</t>
        </is>
      </c>
      <c r="H12" s="10" t="n">
        <v>3</v>
      </c>
      <c r="I12" s="11" t="n">
        <v>7800</v>
      </c>
      <c r="J12" s="11">
        <f>H12*I12</f>
        <v/>
      </c>
      <c r="K12" s="11" t="n">
        <v>2800</v>
      </c>
      <c r="L12" s="11">
        <f>H12*K12</f>
        <v/>
      </c>
      <c r="M12" s="11">
        <f>J12-L12</f>
        <v/>
      </c>
      <c r="N12" s="20" t="inlineStr">
        <is>
          <t>WH-BLR-02</t>
        </is>
      </c>
      <c r="O12" s="20" t="inlineStr">
        <is>
          <t>Mobile App</t>
        </is>
      </c>
    </row>
    <row r="13" ht="19" customHeight="1">
      <c r="A13" s="21" t="inlineStr">
        <is>
          <t>ORD-2025071</t>
        </is>
      </c>
      <c r="B13" s="21" t="inlineStr">
        <is>
          <t>2025-07-27</t>
        </is>
      </c>
      <c r="C13" s="21" t="inlineStr">
        <is>
          <t>PD-009-M</t>
        </is>
      </c>
      <c r="D13" s="21" t="inlineStr">
        <is>
          <t>PD-009</t>
        </is>
      </c>
      <c r="E13" s="12" t="inlineStr">
        <is>
          <t>Syrah Pleated Maxi Skirt</t>
        </is>
      </c>
      <c r="F13" s="12" t="inlineStr">
        <is>
          <t>Skirts</t>
        </is>
      </c>
      <c r="G13" s="21" t="inlineStr">
        <is>
          <t>M</t>
        </is>
      </c>
      <c r="H13" s="13" t="n">
        <v>2</v>
      </c>
      <c r="I13" s="14" t="n">
        <v>5400</v>
      </c>
      <c r="J13" s="14">
        <f>H13*I13</f>
        <v/>
      </c>
      <c r="K13" s="14" t="n">
        <v>1900</v>
      </c>
      <c r="L13" s="14">
        <f>H13*K13</f>
        <v/>
      </c>
      <c r="M13" s="14">
        <f>J13-L13</f>
        <v/>
      </c>
      <c r="N13" s="21" t="inlineStr">
        <is>
          <t>WH-BLR-02</t>
        </is>
      </c>
      <c r="O13" s="21" t="inlineStr">
        <is>
          <t>Retail Store</t>
        </is>
      </c>
    </row>
    <row r="14" ht="19" customHeight="1">
      <c r="A14" s="20" t="inlineStr">
        <is>
          <t>ORD-2025183</t>
        </is>
      </c>
      <c r="B14" s="20" t="inlineStr">
        <is>
          <t>2025-07-28</t>
        </is>
      </c>
      <c r="C14" s="20" t="inlineStr">
        <is>
          <t>PD-002-XS</t>
        </is>
      </c>
      <c r="D14" s="20" t="inlineStr">
        <is>
          <t>PD-002</t>
        </is>
      </c>
      <c r="E14" s="9" t="inlineStr">
        <is>
          <t>Merlot Satin Slip Dress</t>
        </is>
      </c>
      <c r="F14" s="9" t="inlineStr">
        <is>
          <t>Dresses</t>
        </is>
      </c>
      <c r="G14" s="20" t="inlineStr">
        <is>
          <t>XS</t>
        </is>
      </c>
      <c r="H14" s="10" t="n">
        <v>2</v>
      </c>
      <c r="I14" s="11" t="n">
        <v>6200</v>
      </c>
      <c r="J14" s="11">
        <f>H14*I14</f>
        <v/>
      </c>
      <c r="K14" s="11" t="n">
        <v>2100</v>
      </c>
      <c r="L14" s="11">
        <f>H14*K14</f>
        <v/>
      </c>
      <c r="M14" s="11">
        <f>J14-L14</f>
        <v/>
      </c>
      <c r="N14" s="20" t="inlineStr">
        <is>
          <t>WH-DEL-03</t>
        </is>
      </c>
      <c r="O14" s="20" t="inlineStr">
        <is>
          <t>Mobile App</t>
        </is>
      </c>
    </row>
    <row r="15" ht="19" customHeight="1">
      <c r="A15" s="21" t="inlineStr">
        <is>
          <t>ORD-2025413</t>
        </is>
      </c>
      <c r="B15" s="21" t="inlineStr">
        <is>
          <t>2025-07-28</t>
        </is>
      </c>
      <c r="C15" s="21" t="inlineStr">
        <is>
          <t>PD-010-M</t>
        </is>
      </c>
      <c r="D15" s="21" t="inlineStr">
        <is>
          <t>PD-010</t>
        </is>
      </c>
      <c r="E15" s="12" t="inlineStr">
        <is>
          <t>Noir Tailored Blazer</t>
        </is>
      </c>
      <c r="F15" s="12" t="inlineStr">
        <is>
          <t>Outerwear</t>
        </is>
      </c>
      <c r="G15" s="21" t="inlineStr">
        <is>
          <t>M</t>
        </is>
      </c>
      <c r="H15" s="13" t="n">
        <v>2</v>
      </c>
      <c r="I15" s="14" t="n">
        <v>11000</v>
      </c>
      <c r="J15" s="14">
        <f>H15*I15</f>
        <v/>
      </c>
      <c r="K15" s="14" t="n">
        <v>4200</v>
      </c>
      <c r="L15" s="14">
        <f>H15*K15</f>
        <v/>
      </c>
      <c r="M15" s="14">
        <f>J15-L15</f>
        <v/>
      </c>
      <c r="N15" s="21" t="inlineStr">
        <is>
          <t>WH-BLR-02</t>
        </is>
      </c>
      <c r="O15" s="21" t="inlineStr">
        <is>
          <t>Mobile App</t>
        </is>
      </c>
    </row>
    <row r="16" ht="19" customHeight="1">
      <c r="A16" s="20" t="inlineStr">
        <is>
          <t>ORD-2025124</t>
        </is>
      </c>
      <c r="B16" s="20" t="inlineStr">
        <is>
          <t>2025-07-30</t>
        </is>
      </c>
      <c r="C16" s="20" t="inlineStr">
        <is>
          <t>PD-004-XS</t>
        </is>
      </c>
      <c r="D16" s="20" t="inlineStr">
        <is>
          <t>PD-004</t>
        </is>
      </c>
      <c r="E16" s="9" t="inlineStr">
        <is>
          <t>Rosé Off-Shoulder Mini</t>
        </is>
      </c>
      <c r="F16" s="9" t="inlineStr">
        <is>
          <t>Dresses</t>
        </is>
      </c>
      <c r="G16" s="20" t="inlineStr">
        <is>
          <t>XS</t>
        </is>
      </c>
      <c r="H16" s="10" t="n">
        <v>2</v>
      </c>
      <c r="I16" s="11" t="n">
        <v>4900</v>
      </c>
      <c r="J16" s="11">
        <f>H16*I16</f>
        <v/>
      </c>
      <c r="K16" s="11" t="n">
        <v>1800</v>
      </c>
      <c r="L16" s="11">
        <f>H16*K16</f>
        <v/>
      </c>
      <c r="M16" s="11">
        <f>J16-L16</f>
        <v/>
      </c>
      <c r="N16" s="20" t="inlineStr">
        <is>
          <t>WH-HYD-01</t>
        </is>
      </c>
      <c r="O16" s="20" t="inlineStr">
        <is>
          <t>Mobile App</t>
        </is>
      </c>
    </row>
    <row r="17" ht="19" customHeight="1">
      <c r="A17" s="21" t="inlineStr">
        <is>
          <t>ORD-2025300</t>
        </is>
      </c>
      <c r="B17" s="21" t="inlineStr">
        <is>
          <t>2025-07-30</t>
        </is>
      </c>
      <c r="C17" s="21" t="inlineStr">
        <is>
          <t>PD-002-XS</t>
        </is>
      </c>
      <c r="D17" s="21" t="inlineStr">
        <is>
          <t>PD-002</t>
        </is>
      </c>
      <c r="E17" s="12" t="inlineStr">
        <is>
          <t>Merlot Satin Slip Dress</t>
        </is>
      </c>
      <c r="F17" s="12" t="inlineStr">
        <is>
          <t>Dresses</t>
        </is>
      </c>
      <c r="G17" s="21" t="inlineStr">
        <is>
          <t>XS</t>
        </is>
      </c>
      <c r="H17" s="13" t="n">
        <v>5</v>
      </c>
      <c r="I17" s="14" t="n">
        <v>6200</v>
      </c>
      <c r="J17" s="14">
        <f>H17*I17</f>
        <v/>
      </c>
      <c r="K17" s="14" t="n">
        <v>2100</v>
      </c>
      <c r="L17" s="14">
        <f>H17*K17</f>
        <v/>
      </c>
      <c r="M17" s="14">
        <f>J17-L17</f>
        <v/>
      </c>
      <c r="N17" s="21" t="inlineStr">
        <is>
          <t>WH-HYD-01</t>
        </is>
      </c>
      <c r="O17" s="21" t="inlineStr">
        <is>
          <t>Retail Store</t>
        </is>
      </c>
    </row>
    <row r="18" ht="19" customHeight="1">
      <c r="A18" s="20" t="inlineStr">
        <is>
          <t>ORD-2025173</t>
        </is>
      </c>
      <c r="B18" s="20" t="inlineStr">
        <is>
          <t>2025-07-31</t>
        </is>
      </c>
      <c r="C18" s="20" t="inlineStr">
        <is>
          <t>PD-003-XL</t>
        </is>
      </c>
      <c r="D18" s="20" t="inlineStr">
        <is>
          <t>PD-003</t>
        </is>
      </c>
      <c r="E18" s="9" t="inlineStr">
        <is>
          <t>Bordeaux Lace Midi</t>
        </is>
      </c>
      <c r="F18" s="9" t="inlineStr">
        <is>
          <t>Dresses</t>
        </is>
      </c>
      <c r="G18" s="20" t="inlineStr">
        <is>
          <t>XL</t>
        </is>
      </c>
      <c r="H18" s="10" t="n">
        <v>3</v>
      </c>
      <c r="I18" s="11" t="n">
        <v>7800</v>
      </c>
      <c r="J18" s="11">
        <f>H18*I18</f>
        <v/>
      </c>
      <c r="K18" s="11" t="n">
        <v>2800</v>
      </c>
      <c r="L18" s="11">
        <f>H18*K18</f>
        <v/>
      </c>
      <c r="M18" s="11">
        <f>J18-L18</f>
        <v/>
      </c>
      <c r="N18" s="20" t="inlineStr">
        <is>
          <t>WH-DEL-03</t>
        </is>
      </c>
      <c r="O18" s="20" t="inlineStr">
        <is>
          <t>Retail Store</t>
        </is>
      </c>
    </row>
    <row r="19" ht="19" customHeight="1">
      <c r="A19" s="21" t="inlineStr">
        <is>
          <t>ORD-2025240</t>
        </is>
      </c>
      <c r="B19" s="21" t="inlineStr">
        <is>
          <t>2025-08-01</t>
        </is>
      </c>
      <c r="C19" s="21" t="inlineStr">
        <is>
          <t>PD-008-M</t>
        </is>
      </c>
      <c r="D19" s="21" t="inlineStr">
        <is>
          <t>PD-008</t>
        </is>
      </c>
      <c r="E19" s="12" t="inlineStr">
        <is>
          <t>Tuscan Sun Silk Skirt</t>
        </is>
      </c>
      <c r="F19" s="12" t="inlineStr">
        <is>
          <t>Skirts</t>
        </is>
      </c>
      <c r="G19" s="21" t="inlineStr">
        <is>
          <t>M</t>
        </is>
      </c>
      <c r="H19" s="13" t="n">
        <v>3</v>
      </c>
      <c r="I19" s="14" t="n">
        <v>4500</v>
      </c>
      <c r="J19" s="14">
        <f>H19*I19</f>
        <v/>
      </c>
      <c r="K19" s="14" t="n">
        <v>1600</v>
      </c>
      <c r="L19" s="14">
        <f>H19*K19</f>
        <v/>
      </c>
      <c r="M19" s="14">
        <f>J19-L19</f>
        <v/>
      </c>
      <c r="N19" s="21" t="inlineStr">
        <is>
          <t>WH-DEL-03</t>
        </is>
      </c>
      <c r="O19" s="21" t="inlineStr">
        <is>
          <t>Online Store</t>
        </is>
      </c>
    </row>
    <row r="20" ht="19" customHeight="1">
      <c r="A20" s="20" t="inlineStr">
        <is>
          <t>ORD-2025075</t>
        </is>
      </c>
      <c r="B20" s="20" t="inlineStr">
        <is>
          <t>2025-08-03</t>
        </is>
      </c>
      <c r="C20" s="20" t="inlineStr">
        <is>
          <t>PD-002-S</t>
        </is>
      </c>
      <c r="D20" s="20" t="inlineStr">
        <is>
          <t>PD-002</t>
        </is>
      </c>
      <c r="E20" s="9" t="inlineStr">
        <is>
          <t>Merlot Satin Slip Dress</t>
        </is>
      </c>
      <c r="F20" s="9" t="inlineStr">
        <is>
          <t>Dresses</t>
        </is>
      </c>
      <c r="G20" s="20" t="inlineStr">
        <is>
          <t>S</t>
        </is>
      </c>
      <c r="H20" s="10" t="n">
        <v>5</v>
      </c>
      <c r="I20" s="11" t="n">
        <v>6200</v>
      </c>
      <c r="J20" s="11">
        <f>H20*I20</f>
        <v/>
      </c>
      <c r="K20" s="11" t="n">
        <v>2100</v>
      </c>
      <c r="L20" s="11">
        <f>H20*K20</f>
        <v/>
      </c>
      <c r="M20" s="11">
        <f>J20-L20</f>
        <v/>
      </c>
      <c r="N20" s="20" t="inlineStr">
        <is>
          <t>WH-BLR-02</t>
        </is>
      </c>
      <c r="O20" s="20" t="inlineStr">
        <is>
          <t>Retail Store</t>
        </is>
      </c>
    </row>
    <row r="21" ht="19" customHeight="1">
      <c r="A21" s="21" t="inlineStr">
        <is>
          <t>ORD-2025372</t>
        </is>
      </c>
      <c r="B21" s="21" t="inlineStr">
        <is>
          <t>2025-08-03</t>
        </is>
      </c>
      <c r="C21" s="21" t="inlineStr">
        <is>
          <t>PD-004-L</t>
        </is>
      </c>
      <c r="D21" s="21" t="inlineStr">
        <is>
          <t>PD-004</t>
        </is>
      </c>
      <c r="E21" s="12" t="inlineStr">
        <is>
          <t>Rosé Off-Shoulder Mini</t>
        </is>
      </c>
      <c r="F21" s="12" t="inlineStr">
        <is>
          <t>Dresses</t>
        </is>
      </c>
      <c r="G21" s="21" t="inlineStr">
        <is>
          <t>L</t>
        </is>
      </c>
      <c r="H21" s="13" t="n">
        <v>4</v>
      </c>
      <c r="I21" s="14" t="n">
        <v>4900</v>
      </c>
      <c r="J21" s="14">
        <f>H21*I21</f>
        <v/>
      </c>
      <c r="K21" s="14" t="n">
        <v>1800</v>
      </c>
      <c r="L21" s="14">
        <f>H21*K21</f>
        <v/>
      </c>
      <c r="M21" s="14">
        <f>J21-L21</f>
        <v/>
      </c>
      <c r="N21" s="21" t="inlineStr">
        <is>
          <t>WH-DEL-03</t>
        </is>
      </c>
      <c r="O21" s="21" t="inlineStr">
        <is>
          <t>Online Store</t>
        </is>
      </c>
    </row>
    <row r="22" ht="19" customHeight="1">
      <c r="A22" s="20" t="inlineStr">
        <is>
          <t>ORD-2025182</t>
        </is>
      </c>
      <c r="B22" s="20" t="inlineStr">
        <is>
          <t>2025-08-04</t>
        </is>
      </c>
      <c r="C22" s="20" t="inlineStr">
        <is>
          <t>PD-006-M</t>
        </is>
      </c>
      <c r="D22" s="20" t="inlineStr">
        <is>
          <t>PD-006</t>
        </is>
      </c>
      <c r="E22" s="9" t="inlineStr">
        <is>
          <t>Chiffon Crimson Blouse</t>
        </is>
      </c>
      <c r="F22" s="9" t="inlineStr">
        <is>
          <t>Tops</t>
        </is>
      </c>
      <c r="G22" s="20" t="inlineStr">
        <is>
          <t>M</t>
        </is>
      </c>
      <c r="H22" s="10" t="n">
        <v>3</v>
      </c>
      <c r="I22" s="11" t="n">
        <v>3200</v>
      </c>
      <c r="J22" s="11">
        <f>H22*I22</f>
        <v/>
      </c>
      <c r="K22" s="11" t="n">
        <v>1100</v>
      </c>
      <c r="L22" s="11">
        <f>H22*K22</f>
        <v/>
      </c>
      <c r="M22" s="11">
        <f>J22-L22</f>
        <v/>
      </c>
      <c r="N22" s="20" t="inlineStr">
        <is>
          <t>WH-DEL-03</t>
        </is>
      </c>
      <c r="O22" s="20" t="inlineStr">
        <is>
          <t>Retail Store</t>
        </is>
      </c>
    </row>
    <row r="23" ht="19" customHeight="1">
      <c r="A23" s="21" t="inlineStr">
        <is>
          <t>ORD-2025063</t>
        </is>
      </c>
      <c r="B23" s="21" t="inlineStr">
        <is>
          <t>2025-08-05</t>
        </is>
      </c>
      <c r="C23" s="21" t="inlineStr">
        <is>
          <t>PD-004-XL</t>
        </is>
      </c>
      <c r="D23" s="21" t="inlineStr">
        <is>
          <t>PD-004</t>
        </is>
      </c>
      <c r="E23" s="12" t="inlineStr">
        <is>
          <t>Rosé Off-Shoulder Mini</t>
        </is>
      </c>
      <c r="F23" s="12" t="inlineStr">
        <is>
          <t>Dresses</t>
        </is>
      </c>
      <c r="G23" s="21" t="inlineStr">
        <is>
          <t>XL</t>
        </is>
      </c>
      <c r="H23" s="13" t="n">
        <v>3</v>
      </c>
      <c r="I23" s="14" t="n">
        <v>4900</v>
      </c>
      <c r="J23" s="14">
        <f>H23*I23</f>
        <v/>
      </c>
      <c r="K23" s="14" t="n">
        <v>1800</v>
      </c>
      <c r="L23" s="14">
        <f>H23*K23</f>
        <v/>
      </c>
      <c r="M23" s="14">
        <f>J23-L23</f>
        <v/>
      </c>
      <c r="N23" s="21" t="inlineStr">
        <is>
          <t>WH-HYD-01</t>
        </is>
      </c>
      <c r="O23" s="21" t="inlineStr">
        <is>
          <t>Retail Store</t>
        </is>
      </c>
    </row>
    <row r="24" ht="19" customHeight="1">
      <c r="A24" s="20" t="inlineStr">
        <is>
          <t>ORD-2025133</t>
        </is>
      </c>
      <c r="B24" s="20" t="inlineStr">
        <is>
          <t>2025-08-05</t>
        </is>
      </c>
      <c r="C24" s="20" t="inlineStr">
        <is>
          <t>PD-005-M</t>
        </is>
      </c>
      <c r="D24" s="20" t="inlineStr">
        <is>
          <t>PD-005</t>
        </is>
      </c>
      <c r="E24" s="9" t="inlineStr">
        <is>
          <t>Shiraz Wrap Evening Dress</t>
        </is>
      </c>
      <c r="F24" s="9" t="inlineStr">
        <is>
          <t>Dresses</t>
        </is>
      </c>
      <c r="G24" s="20" t="inlineStr">
        <is>
          <t>M</t>
        </is>
      </c>
      <c r="H24" s="10" t="n">
        <v>5</v>
      </c>
      <c r="I24" s="11" t="n">
        <v>9200</v>
      </c>
      <c r="J24" s="11">
        <f>H24*I24</f>
        <v/>
      </c>
      <c r="K24" s="11" t="n">
        <v>3500</v>
      </c>
      <c r="L24" s="11">
        <f>H24*K24</f>
        <v/>
      </c>
      <c r="M24" s="11">
        <f>J24-L24</f>
        <v/>
      </c>
      <c r="N24" s="20" t="inlineStr">
        <is>
          <t>WH-BLR-02</t>
        </is>
      </c>
      <c r="O24" s="20" t="inlineStr">
        <is>
          <t>Mobile App</t>
        </is>
      </c>
    </row>
    <row r="25" ht="19" customHeight="1">
      <c r="A25" s="21" t="inlineStr">
        <is>
          <t>ORD-2025336</t>
        </is>
      </c>
      <c r="B25" s="21" t="inlineStr">
        <is>
          <t>2025-08-05</t>
        </is>
      </c>
      <c r="C25" s="21" t="inlineStr">
        <is>
          <t>PD-006-L</t>
        </is>
      </c>
      <c r="D25" s="21" t="inlineStr">
        <is>
          <t>PD-006</t>
        </is>
      </c>
      <c r="E25" s="12" t="inlineStr">
        <is>
          <t>Chiffon Crimson Blouse</t>
        </is>
      </c>
      <c r="F25" s="12" t="inlineStr">
        <is>
          <t>Tops</t>
        </is>
      </c>
      <c r="G25" s="21" t="inlineStr">
        <is>
          <t>L</t>
        </is>
      </c>
      <c r="H25" s="13" t="n">
        <v>5</v>
      </c>
      <c r="I25" s="14" t="n">
        <v>3200</v>
      </c>
      <c r="J25" s="14">
        <f>H25*I25</f>
        <v/>
      </c>
      <c r="K25" s="14" t="n">
        <v>1100</v>
      </c>
      <c r="L25" s="14">
        <f>H25*K25</f>
        <v/>
      </c>
      <c r="M25" s="14">
        <f>J25-L25</f>
        <v/>
      </c>
      <c r="N25" s="21" t="inlineStr">
        <is>
          <t>WH-DEL-03</t>
        </is>
      </c>
      <c r="O25" s="21" t="inlineStr">
        <is>
          <t>Online Store</t>
        </is>
      </c>
    </row>
    <row r="26" ht="19" customHeight="1">
      <c r="A26" s="20" t="inlineStr">
        <is>
          <t>ORD-2025403</t>
        </is>
      </c>
      <c r="B26" s="20" t="inlineStr">
        <is>
          <t>2025-08-05</t>
        </is>
      </c>
      <c r="C26" s="20" t="inlineStr">
        <is>
          <t>PD-010-S</t>
        </is>
      </c>
      <c r="D26" s="20" t="inlineStr">
        <is>
          <t>PD-010</t>
        </is>
      </c>
      <c r="E26" s="9" t="inlineStr">
        <is>
          <t>Noir Tailored Blazer</t>
        </is>
      </c>
      <c r="F26" s="9" t="inlineStr">
        <is>
          <t>Outerwear</t>
        </is>
      </c>
      <c r="G26" s="20" t="inlineStr">
        <is>
          <t>S</t>
        </is>
      </c>
      <c r="H26" s="10" t="n">
        <v>3</v>
      </c>
      <c r="I26" s="11" t="n">
        <v>11000</v>
      </c>
      <c r="J26" s="11">
        <f>H26*I26</f>
        <v/>
      </c>
      <c r="K26" s="11" t="n">
        <v>4200</v>
      </c>
      <c r="L26" s="11">
        <f>H26*K26</f>
        <v/>
      </c>
      <c r="M26" s="11">
        <f>J26-L26</f>
        <v/>
      </c>
      <c r="N26" s="20" t="inlineStr">
        <is>
          <t>WH-DEL-03</t>
        </is>
      </c>
      <c r="O26" s="20" t="inlineStr">
        <is>
          <t>Retail Store</t>
        </is>
      </c>
    </row>
    <row r="27" ht="19" customHeight="1">
      <c r="A27" s="21" t="inlineStr">
        <is>
          <t>ORD-2025253</t>
        </is>
      </c>
      <c r="B27" s="21" t="inlineStr">
        <is>
          <t>2025-08-07</t>
        </is>
      </c>
      <c r="C27" s="21" t="inlineStr">
        <is>
          <t>PD-001-M</t>
        </is>
      </c>
      <c r="D27" s="21" t="inlineStr">
        <is>
          <t>PD-001</t>
        </is>
      </c>
      <c r="E27" s="12" t="inlineStr">
        <is>
          <t>Cabernet Velvet Gown</t>
        </is>
      </c>
      <c r="F27" s="12" t="inlineStr">
        <is>
          <t>Dresses</t>
        </is>
      </c>
      <c r="G27" s="21" t="inlineStr">
        <is>
          <t>M</t>
        </is>
      </c>
      <c r="H27" s="13" t="n">
        <v>3</v>
      </c>
      <c r="I27" s="14" t="n">
        <v>8500</v>
      </c>
      <c r="J27" s="14">
        <f>H27*I27</f>
        <v/>
      </c>
      <c r="K27" s="14" t="n">
        <v>3200</v>
      </c>
      <c r="L27" s="14">
        <f>H27*K27</f>
        <v/>
      </c>
      <c r="M27" s="14">
        <f>J27-L27</f>
        <v/>
      </c>
      <c r="N27" s="21" t="inlineStr">
        <is>
          <t>WH-BLR-02</t>
        </is>
      </c>
      <c r="O27" s="21" t="inlineStr">
        <is>
          <t>Online Store</t>
        </is>
      </c>
    </row>
    <row r="28" ht="19" customHeight="1">
      <c r="A28" s="20" t="inlineStr">
        <is>
          <t>ORD-2025437</t>
        </is>
      </c>
      <c r="B28" s="20" t="inlineStr">
        <is>
          <t>2025-08-07</t>
        </is>
      </c>
      <c r="C28" s="20" t="inlineStr">
        <is>
          <t>PD-009-S</t>
        </is>
      </c>
      <c r="D28" s="20" t="inlineStr">
        <is>
          <t>PD-009</t>
        </is>
      </c>
      <c r="E28" s="9" t="inlineStr">
        <is>
          <t>Syrah Pleated Maxi Skirt</t>
        </is>
      </c>
      <c r="F28" s="9" t="inlineStr">
        <is>
          <t>Skirts</t>
        </is>
      </c>
      <c r="G28" s="20" t="inlineStr">
        <is>
          <t>S</t>
        </is>
      </c>
      <c r="H28" s="10" t="n">
        <v>5</v>
      </c>
      <c r="I28" s="11" t="n">
        <v>5400</v>
      </c>
      <c r="J28" s="11">
        <f>H28*I28</f>
        <v/>
      </c>
      <c r="K28" s="11" t="n">
        <v>1900</v>
      </c>
      <c r="L28" s="11">
        <f>H28*K28</f>
        <v/>
      </c>
      <c r="M28" s="11">
        <f>J28-L28</f>
        <v/>
      </c>
      <c r="N28" s="20" t="inlineStr">
        <is>
          <t>WH-BLR-02</t>
        </is>
      </c>
      <c r="O28" s="20" t="inlineStr">
        <is>
          <t>Mobile App</t>
        </is>
      </c>
    </row>
    <row r="29" ht="19" customHeight="1">
      <c r="A29" s="21" t="inlineStr">
        <is>
          <t>ORD-2025464</t>
        </is>
      </c>
      <c r="B29" s="21" t="inlineStr">
        <is>
          <t>2025-08-07</t>
        </is>
      </c>
      <c r="C29" s="21" t="inlineStr">
        <is>
          <t>PD-001-M</t>
        </is>
      </c>
      <c r="D29" s="21" t="inlineStr">
        <is>
          <t>PD-001</t>
        </is>
      </c>
      <c r="E29" s="12" t="inlineStr">
        <is>
          <t>Cabernet Velvet Gown</t>
        </is>
      </c>
      <c r="F29" s="12" t="inlineStr">
        <is>
          <t>Dresses</t>
        </is>
      </c>
      <c r="G29" s="21" t="inlineStr">
        <is>
          <t>M</t>
        </is>
      </c>
      <c r="H29" s="13" t="n">
        <v>2</v>
      </c>
      <c r="I29" s="14" t="n">
        <v>8500</v>
      </c>
      <c r="J29" s="14">
        <f>H29*I29</f>
        <v/>
      </c>
      <c r="K29" s="14" t="n">
        <v>3200</v>
      </c>
      <c r="L29" s="14">
        <f>H29*K29</f>
        <v/>
      </c>
      <c r="M29" s="14">
        <f>J29-L29</f>
        <v/>
      </c>
      <c r="N29" s="21" t="inlineStr">
        <is>
          <t>WH-DEL-03</t>
        </is>
      </c>
      <c r="O29" s="21" t="inlineStr">
        <is>
          <t>Retail Store</t>
        </is>
      </c>
    </row>
    <row r="30" ht="19" customHeight="1">
      <c r="A30" s="20" t="inlineStr">
        <is>
          <t>ORD-2025236</t>
        </is>
      </c>
      <c r="B30" s="20" t="inlineStr">
        <is>
          <t>2025-08-09</t>
        </is>
      </c>
      <c r="C30" s="20" t="inlineStr">
        <is>
          <t>PD-008-L</t>
        </is>
      </c>
      <c r="D30" s="20" t="inlineStr">
        <is>
          <t>PD-008</t>
        </is>
      </c>
      <c r="E30" s="9" t="inlineStr">
        <is>
          <t>Tuscan Sun Silk Skirt</t>
        </is>
      </c>
      <c r="F30" s="9" t="inlineStr">
        <is>
          <t>Skirts</t>
        </is>
      </c>
      <c r="G30" s="20" t="inlineStr">
        <is>
          <t>L</t>
        </is>
      </c>
      <c r="H30" s="10" t="n">
        <v>4</v>
      </c>
      <c r="I30" s="11" t="n">
        <v>4500</v>
      </c>
      <c r="J30" s="11">
        <f>H30*I30</f>
        <v/>
      </c>
      <c r="K30" s="11" t="n">
        <v>1600</v>
      </c>
      <c r="L30" s="11">
        <f>H30*K30</f>
        <v/>
      </c>
      <c r="M30" s="11">
        <f>J30-L30</f>
        <v/>
      </c>
      <c r="N30" s="20" t="inlineStr">
        <is>
          <t>WH-BLR-02</t>
        </is>
      </c>
      <c r="O30" s="20" t="inlineStr">
        <is>
          <t>Online Store</t>
        </is>
      </c>
    </row>
    <row r="31" ht="19" customHeight="1">
      <c r="A31" s="21" t="inlineStr">
        <is>
          <t>ORD-2025304</t>
        </is>
      </c>
      <c r="B31" s="21" t="inlineStr">
        <is>
          <t>2025-08-09</t>
        </is>
      </c>
      <c r="C31" s="21" t="inlineStr">
        <is>
          <t>PD-009-L</t>
        </is>
      </c>
      <c r="D31" s="21" t="inlineStr">
        <is>
          <t>PD-009</t>
        </is>
      </c>
      <c r="E31" s="12" t="inlineStr">
        <is>
          <t>Syrah Pleated Maxi Skirt</t>
        </is>
      </c>
      <c r="F31" s="12" t="inlineStr">
        <is>
          <t>Skirts</t>
        </is>
      </c>
      <c r="G31" s="21" t="inlineStr">
        <is>
          <t>L</t>
        </is>
      </c>
      <c r="H31" s="13" t="n">
        <v>1</v>
      </c>
      <c r="I31" s="14" t="n">
        <v>5400</v>
      </c>
      <c r="J31" s="14">
        <f>H31*I31</f>
        <v/>
      </c>
      <c r="K31" s="14" t="n">
        <v>1900</v>
      </c>
      <c r="L31" s="14">
        <f>H31*K31</f>
        <v/>
      </c>
      <c r="M31" s="14">
        <f>J31-L31</f>
        <v/>
      </c>
      <c r="N31" s="21" t="inlineStr">
        <is>
          <t>WH-BLR-02</t>
        </is>
      </c>
      <c r="O31" s="21" t="inlineStr">
        <is>
          <t>Retail Store</t>
        </is>
      </c>
    </row>
    <row r="32" ht="19" customHeight="1">
      <c r="A32" s="20" t="inlineStr">
        <is>
          <t>ORD-2025448</t>
        </is>
      </c>
      <c r="B32" s="20" t="inlineStr">
        <is>
          <t>2025-08-09</t>
        </is>
      </c>
      <c r="C32" s="20" t="inlineStr">
        <is>
          <t>PD-004-L</t>
        </is>
      </c>
      <c r="D32" s="20" t="inlineStr">
        <is>
          <t>PD-004</t>
        </is>
      </c>
      <c r="E32" s="9" t="inlineStr">
        <is>
          <t>Rosé Off-Shoulder Mini</t>
        </is>
      </c>
      <c r="F32" s="9" t="inlineStr">
        <is>
          <t>Dresses</t>
        </is>
      </c>
      <c r="G32" s="20" t="inlineStr">
        <is>
          <t>L</t>
        </is>
      </c>
      <c r="H32" s="10" t="n">
        <v>4</v>
      </c>
      <c r="I32" s="11" t="n">
        <v>4900</v>
      </c>
      <c r="J32" s="11">
        <f>H32*I32</f>
        <v/>
      </c>
      <c r="K32" s="11" t="n">
        <v>1800</v>
      </c>
      <c r="L32" s="11">
        <f>H32*K32</f>
        <v/>
      </c>
      <c r="M32" s="11">
        <f>J32-L32</f>
        <v/>
      </c>
      <c r="N32" s="20" t="inlineStr">
        <is>
          <t>WH-DEL-03</t>
        </is>
      </c>
      <c r="O32" s="20" t="inlineStr">
        <is>
          <t>Retail Store</t>
        </is>
      </c>
    </row>
    <row r="33" ht="19" customHeight="1">
      <c r="A33" s="21" t="inlineStr">
        <is>
          <t>ORD-2025057</t>
        </is>
      </c>
      <c r="B33" s="21" t="inlineStr">
        <is>
          <t>2025-08-10</t>
        </is>
      </c>
      <c r="C33" s="21" t="inlineStr">
        <is>
          <t>PD-002-XS</t>
        </is>
      </c>
      <c r="D33" s="21" t="inlineStr">
        <is>
          <t>PD-002</t>
        </is>
      </c>
      <c r="E33" s="12" t="inlineStr">
        <is>
          <t>Merlot Satin Slip Dress</t>
        </is>
      </c>
      <c r="F33" s="12" t="inlineStr">
        <is>
          <t>Dresses</t>
        </is>
      </c>
      <c r="G33" s="21" t="inlineStr">
        <is>
          <t>XS</t>
        </is>
      </c>
      <c r="H33" s="13" t="n">
        <v>4</v>
      </c>
      <c r="I33" s="14" t="n">
        <v>6200</v>
      </c>
      <c r="J33" s="14">
        <f>H33*I33</f>
        <v/>
      </c>
      <c r="K33" s="14" t="n">
        <v>2100</v>
      </c>
      <c r="L33" s="14">
        <f>H33*K33</f>
        <v/>
      </c>
      <c r="M33" s="14">
        <f>J33-L33</f>
        <v/>
      </c>
      <c r="N33" s="21" t="inlineStr">
        <is>
          <t>WH-BLR-02</t>
        </is>
      </c>
      <c r="O33" s="21" t="inlineStr">
        <is>
          <t>Online Store</t>
        </is>
      </c>
    </row>
    <row r="34" ht="19" customHeight="1">
      <c r="A34" s="20" t="inlineStr">
        <is>
          <t>ORD-2025195</t>
        </is>
      </c>
      <c r="B34" s="20" t="inlineStr">
        <is>
          <t>2025-08-10</t>
        </is>
      </c>
      <c r="C34" s="20" t="inlineStr">
        <is>
          <t>PD-003-L</t>
        </is>
      </c>
      <c r="D34" s="20" t="inlineStr">
        <is>
          <t>PD-003</t>
        </is>
      </c>
      <c r="E34" s="9" t="inlineStr">
        <is>
          <t>Bordeaux Lace Midi</t>
        </is>
      </c>
      <c r="F34" s="9" t="inlineStr">
        <is>
          <t>Dresses</t>
        </is>
      </c>
      <c r="G34" s="20" t="inlineStr">
        <is>
          <t>L</t>
        </is>
      </c>
      <c r="H34" s="10" t="n">
        <v>3</v>
      </c>
      <c r="I34" s="11" t="n">
        <v>7800</v>
      </c>
      <c r="J34" s="11">
        <f>H34*I34</f>
        <v/>
      </c>
      <c r="K34" s="11" t="n">
        <v>2800</v>
      </c>
      <c r="L34" s="11">
        <f>H34*K34</f>
        <v/>
      </c>
      <c r="M34" s="11">
        <f>J34-L34</f>
        <v/>
      </c>
      <c r="N34" s="20" t="inlineStr">
        <is>
          <t>WH-DEL-03</t>
        </is>
      </c>
      <c r="O34" s="20" t="inlineStr">
        <is>
          <t>Online Store</t>
        </is>
      </c>
    </row>
    <row r="35" ht="19" customHeight="1">
      <c r="A35" s="21" t="inlineStr">
        <is>
          <t>ORD-2025343</t>
        </is>
      </c>
      <c r="B35" s="21" t="inlineStr">
        <is>
          <t>2025-08-10</t>
        </is>
      </c>
      <c r="C35" s="21" t="inlineStr">
        <is>
          <t>PD-009-XS</t>
        </is>
      </c>
      <c r="D35" s="21" t="inlineStr">
        <is>
          <t>PD-009</t>
        </is>
      </c>
      <c r="E35" s="12" t="inlineStr">
        <is>
          <t>Syrah Pleated Maxi Skirt</t>
        </is>
      </c>
      <c r="F35" s="12" t="inlineStr">
        <is>
          <t>Skirts</t>
        </is>
      </c>
      <c r="G35" s="21" t="inlineStr">
        <is>
          <t>XS</t>
        </is>
      </c>
      <c r="H35" s="13" t="n">
        <v>3</v>
      </c>
      <c r="I35" s="14" t="n">
        <v>5400</v>
      </c>
      <c r="J35" s="14">
        <f>H35*I35</f>
        <v/>
      </c>
      <c r="K35" s="14" t="n">
        <v>1900</v>
      </c>
      <c r="L35" s="14">
        <f>H35*K35</f>
        <v/>
      </c>
      <c r="M35" s="14">
        <f>J35-L35</f>
        <v/>
      </c>
      <c r="N35" s="21" t="inlineStr">
        <is>
          <t>WH-HYD-01</t>
        </is>
      </c>
      <c r="O35" s="21" t="inlineStr">
        <is>
          <t>Retail Store</t>
        </is>
      </c>
    </row>
    <row r="36" ht="19" customHeight="1">
      <c r="A36" s="20" t="inlineStr">
        <is>
          <t>ORD-2025474</t>
        </is>
      </c>
      <c r="B36" s="20" t="inlineStr">
        <is>
          <t>2025-08-10</t>
        </is>
      </c>
      <c r="C36" s="20" t="inlineStr">
        <is>
          <t>PD-008-M</t>
        </is>
      </c>
      <c r="D36" s="20" t="inlineStr">
        <is>
          <t>PD-008</t>
        </is>
      </c>
      <c r="E36" s="9" t="inlineStr">
        <is>
          <t>Tuscan Sun Silk Skirt</t>
        </is>
      </c>
      <c r="F36" s="9" t="inlineStr">
        <is>
          <t>Skirts</t>
        </is>
      </c>
      <c r="G36" s="20" t="inlineStr">
        <is>
          <t>M</t>
        </is>
      </c>
      <c r="H36" s="10" t="n">
        <v>4</v>
      </c>
      <c r="I36" s="11" t="n">
        <v>4500</v>
      </c>
      <c r="J36" s="11">
        <f>H36*I36</f>
        <v/>
      </c>
      <c r="K36" s="11" t="n">
        <v>1600</v>
      </c>
      <c r="L36" s="11">
        <f>H36*K36</f>
        <v/>
      </c>
      <c r="M36" s="11">
        <f>J36-L36</f>
        <v/>
      </c>
      <c r="N36" s="20" t="inlineStr">
        <is>
          <t>WH-HYD-01</t>
        </is>
      </c>
      <c r="O36" s="20" t="inlineStr">
        <is>
          <t>Mobile App</t>
        </is>
      </c>
    </row>
    <row r="37" ht="19" customHeight="1">
      <c r="A37" s="21" t="inlineStr">
        <is>
          <t>ORD-2025027</t>
        </is>
      </c>
      <c r="B37" s="21" t="inlineStr">
        <is>
          <t>2025-08-11</t>
        </is>
      </c>
      <c r="C37" s="21" t="inlineStr">
        <is>
          <t>PD-009-L</t>
        </is>
      </c>
      <c r="D37" s="21" t="inlineStr">
        <is>
          <t>PD-009</t>
        </is>
      </c>
      <c r="E37" s="12" t="inlineStr">
        <is>
          <t>Syrah Pleated Maxi Skirt</t>
        </is>
      </c>
      <c r="F37" s="12" t="inlineStr">
        <is>
          <t>Skirts</t>
        </is>
      </c>
      <c r="G37" s="21" t="inlineStr">
        <is>
          <t>L</t>
        </is>
      </c>
      <c r="H37" s="13" t="n">
        <v>1</v>
      </c>
      <c r="I37" s="14" t="n">
        <v>5400</v>
      </c>
      <c r="J37" s="14">
        <f>H37*I37</f>
        <v/>
      </c>
      <c r="K37" s="14" t="n">
        <v>1900</v>
      </c>
      <c r="L37" s="14">
        <f>H37*K37</f>
        <v/>
      </c>
      <c r="M37" s="14">
        <f>J37-L37</f>
        <v/>
      </c>
      <c r="N37" s="21" t="inlineStr">
        <is>
          <t>WH-HYD-01</t>
        </is>
      </c>
      <c r="O37" s="21" t="inlineStr">
        <is>
          <t>Retail Store</t>
        </is>
      </c>
    </row>
    <row r="38" ht="19" customHeight="1">
      <c r="A38" s="20" t="inlineStr">
        <is>
          <t>ORD-2025164</t>
        </is>
      </c>
      <c r="B38" s="20" t="inlineStr">
        <is>
          <t>2025-08-11</t>
        </is>
      </c>
      <c r="C38" s="20" t="inlineStr">
        <is>
          <t>PD-002-XL</t>
        </is>
      </c>
      <c r="D38" s="20" t="inlineStr">
        <is>
          <t>PD-002</t>
        </is>
      </c>
      <c r="E38" s="9" t="inlineStr">
        <is>
          <t>Merlot Satin Slip Dress</t>
        </is>
      </c>
      <c r="F38" s="9" t="inlineStr">
        <is>
          <t>Dresses</t>
        </is>
      </c>
      <c r="G38" s="20" t="inlineStr">
        <is>
          <t>XL</t>
        </is>
      </c>
      <c r="H38" s="10" t="n">
        <v>2</v>
      </c>
      <c r="I38" s="11" t="n">
        <v>6200</v>
      </c>
      <c r="J38" s="11">
        <f>H38*I38</f>
        <v/>
      </c>
      <c r="K38" s="11" t="n">
        <v>2100</v>
      </c>
      <c r="L38" s="11">
        <f>H38*K38</f>
        <v/>
      </c>
      <c r="M38" s="11">
        <f>J38-L38</f>
        <v/>
      </c>
      <c r="N38" s="20" t="inlineStr">
        <is>
          <t>WH-DEL-03</t>
        </is>
      </c>
      <c r="O38" s="20" t="inlineStr">
        <is>
          <t>Retail Store</t>
        </is>
      </c>
    </row>
    <row r="39" ht="19" customHeight="1">
      <c r="A39" s="21" t="inlineStr">
        <is>
          <t>ORD-2025369</t>
        </is>
      </c>
      <c r="B39" s="21" t="inlineStr">
        <is>
          <t>2025-08-11</t>
        </is>
      </c>
      <c r="C39" s="21" t="inlineStr">
        <is>
          <t>PD-006-XS</t>
        </is>
      </c>
      <c r="D39" s="21" t="inlineStr">
        <is>
          <t>PD-006</t>
        </is>
      </c>
      <c r="E39" s="12" t="inlineStr">
        <is>
          <t>Chiffon Crimson Blouse</t>
        </is>
      </c>
      <c r="F39" s="12" t="inlineStr">
        <is>
          <t>Tops</t>
        </is>
      </c>
      <c r="G39" s="21" t="inlineStr">
        <is>
          <t>XS</t>
        </is>
      </c>
      <c r="H39" s="13" t="n">
        <v>5</v>
      </c>
      <c r="I39" s="14" t="n">
        <v>3200</v>
      </c>
      <c r="J39" s="14">
        <f>H39*I39</f>
        <v/>
      </c>
      <c r="K39" s="14" t="n">
        <v>1100</v>
      </c>
      <c r="L39" s="14">
        <f>H39*K39</f>
        <v/>
      </c>
      <c r="M39" s="14">
        <f>J39-L39</f>
        <v/>
      </c>
      <c r="N39" s="21" t="inlineStr">
        <is>
          <t>WH-BLR-02</t>
        </is>
      </c>
      <c r="O39" s="21" t="inlineStr">
        <is>
          <t>Online Store</t>
        </is>
      </c>
    </row>
    <row r="40" ht="19" customHeight="1">
      <c r="A40" s="20" t="inlineStr">
        <is>
          <t>ORD-2025223</t>
        </is>
      </c>
      <c r="B40" s="20" t="inlineStr">
        <is>
          <t>2025-08-12</t>
        </is>
      </c>
      <c r="C40" s="20" t="inlineStr">
        <is>
          <t>PD-004-L</t>
        </is>
      </c>
      <c r="D40" s="20" t="inlineStr">
        <is>
          <t>PD-004</t>
        </is>
      </c>
      <c r="E40" s="9" t="inlineStr">
        <is>
          <t>Rosé Off-Shoulder Mini</t>
        </is>
      </c>
      <c r="F40" s="9" t="inlineStr">
        <is>
          <t>Dresses</t>
        </is>
      </c>
      <c r="G40" s="20" t="inlineStr">
        <is>
          <t>L</t>
        </is>
      </c>
      <c r="H40" s="10" t="n">
        <v>3</v>
      </c>
      <c r="I40" s="11" t="n">
        <v>4900</v>
      </c>
      <c r="J40" s="11">
        <f>H40*I40</f>
        <v/>
      </c>
      <c r="K40" s="11" t="n">
        <v>1800</v>
      </c>
      <c r="L40" s="11">
        <f>H40*K40</f>
        <v/>
      </c>
      <c r="M40" s="11">
        <f>J40-L40</f>
        <v/>
      </c>
      <c r="N40" s="20" t="inlineStr">
        <is>
          <t>WH-BLR-02</t>
        </is>
      </c>
      <c r="O40" s="20" t="inlineStr">
        <is>
          <t>Retail Store</t>
        </is>
      </c>
    </row>
    <row r="41" ht="19" customHeight="1">
      <c r="A41" s="21" t="inlineStr">
        <is>
          <t>ORD-2025310</t>
        </is>
      </c>
      <c r="B41" s="21" t="inlineStr">
        <is>
          <t>2025-08-12</t>
        </is>
      </c>
      <c r="C41" s="21" t="inlineStr">
        <is>
          <t>PD-001-XS</t>
        </is>
      </c>
      <c r="D41" s="21" t="inlineStr">
        <is>
          <t>PD-001</t>
        </is>
      </c>
      <c r="E41" s="12" t="inlineStr">
        <is>
          <t>Cabernet Velvet Gown</t>
        </is>
      </c>
      <c r="F41" s="12" t="inlineStr">
        <is>
          <t>Dresses</t>
        </is>
      </c>
      <c r="G41" s="21" t="inlineStr">
        <is>
          <t>XS</t>
        </is>
      </c>
      <c r="H41" s="13" t="n">
        <v>2</v>
      </c>
      <c r="I41" s="14" t="n">
        <v>8500</v>
      </c>
      <c r="J41" s="14">
        <f>H41*I41</f>
        <v/>
      </c>
      <c r="K41" s="14" t="n">
        <v>3200</v>
      </c>
      <c r="L41" s="14">
        <f>H41*K41</f>
        <v/>
      </c>
      <c r="M41" s="14">
        <f>J41-L41</f>
        <v/>
      </c>
      <c r="N41" s="21" t="inlineStr">
        <is>
          <t>WH-BLR-02</t>
        </is>
      </c>
      <c r="O41" s="21" t="inlineStr">
        <is>
          <t>Online Store</t>
        </is>
      </c>
    </row>
    <row r="42" ht="19" customHeight="1">
      <c r="A42" s="20" t="inlineStr">
        <is>
          <t>ORD-2025332</t>
        </is>
      </c>
      <c r="B42" s="20" t="inlineStr">
        <is>
          <t>2025-08-12</t>
        </is>
      </c>
      <c r="C42" s="20" t="inlineStr">
        <is>
          <t>PD-005-M</t>
        </is>
      </c>
      <c r="D42" s="20" t="inlineStr">
        <is>
          <t>PD-005</t>
        </is>
      </c>
      <c r="E42" s="9" t="inlineStr">
        <is>
          <t>Shiraz Wrap Evening Dress</t>
        </is>
      </c>
      <c r="F42" s="9" t="inlineStr">
        <is>
          <t>Dresses</t>
        </is>
      </c>
      <c r="G42" s="20" t="inlineStr">
        <is>
          <t>M</t>
        </is>
      </c>
      <c r="H42" s="10" t="n">
        <v>5</v>
      </c>
      <c r="I42" s="11" t="n">
        <v>9200</v>
      </c>
      <c r="J42" s="11">
        <f>H42*I42</f>
        <v/>
      </c>
      <c r="K42" s="11" t="n">
        <v>3500</v>
      </c>
      <c r="L42" s="11">
        <f>H42*K42</f>
        <v/>
      </c>
      <c r="M42" s="11">
        <f>J42-L42</f>
        <v/>
      </c>
      <c r="N42" s="20" t="inlineStr">
        <is>
          <t>WH-HYD-01</t>
        </is>
      </c>
      <c r="O42" s="20" t="inlineStr">
        <is>
          <t>Retail Store</t>
        </is>
      </c>
    </row>
    <row r="43" ht="19" customHeight="1">
      <c r="A43" s="21" t="inlineStr">
        <is>
          <t>ORD-2025040</t>
        </is>
      </c>
      <c r="B43" s="21" t="inlineStr">
        <is>
          <t>2025-08-13</t>
        </is>
      </c>
      <c r="C43" s="21" t="inlineStr">
        <is>
          <t>PD-007-M</t>
        </is>
      </c>
      <c r="D43" s="21" t="inlineStr">
        <is>
          <t>PD-007</t>
        </is>
      </c>
      <c r="E43" s="12" t="inlineStr">
        <is>
          <t>Burgundy Trench Coat</t>
        </is>
      </c>
      <c r="F43" s="12" t="inlineStr">
        <is>
          <t>Outerwear</t>
        </is>
      </c>
      <c r="G43" s="21" t="inlineStr">
        <is>
          <t>M</t>
        </is>
      </c>
      <c r="H43" s="13" t="n">
        <v>1</v>
      </c>
      <c r="I43" s="14" t="n">
        <v>12500</v>
      </c>
      <c r="J43" s="14">
        <f>H43*I43</f>
        <v/>
      </c>
      <c r="K43" s="14" t="n">
        <v>4800</v>
      </c>
      <c r="L43" s="14">
        <f>H43*K43</f>
        <v/>
      </c>
      <c r="M43" s="14">
        <f>J43-L43</f>
        <v/>
      </c>
      <c r="N43" s="21" t="inlineStr">
        <is>
          <t>WH-HYD-01</t>
        </is>
      </c>
      <c r="O43" s="21" t="inlineStr">
        <is>
          <t>Online Store</t>
        </is>
      </c>
    </row>
    <row r="44" ht="19" customHeight="1">
      <c r="A44" s="20" t="inlineStr">
        <is>
          <t>ORD-2025338</t>
        </is>
      </c>
      <c r="B44" s="20" t="inlineStr">
        <is>
          <t>2025-08-15</t>
        </is>
      </c>
      <c r="C44" s="20" t="inlineStr">
        <is>
          <t>PD-006-L</t>
        </is>
      </c>
      <c r="D44" s="20" t="inlineStr">
        <is>
          <t>PD-006</t>
        </is>
      </c>
      <c r="E44" s="9" t="inlineStr">
        <is>
          <t>Chiffon Crimson Blouse</t>
        </is>
      </c>
      <c r="F44" s="9" t="inlineStr">
        <is>
          <t>Tops</t>
        </is>
      </c>
      <c r="G44" s="20" t="inlineStr">
        <is>
          <t>L</t>
        </is>
      </c>
      <c r="H44" s="10" t="n">
        <v>1</v>
      </c>
      <c r="I44" s="11" t="n">
        <v>3200</v>
      </c>
      <c r="J44" s="11">
        <f>H44*I44</f>
        <v/>
      </c>
      <c r="K44" s="11" t="n">
        <v>1100</v>
      </c>
      <c r="L44" s="11">
        <f>H44*K44</f>
        <v/>
      </c>
      <c r="M44" s="11">
        <f>J44-L44</f>
        <v/>
      </c>
      <c r="N44" s="20" t="inlineStr">
        <is>
          <t>WH-BLR-02</t>
        </is>
      </c>
      <c r="O44" s="20" t="inlineStr">
        <is>
          <t>Mobile App</t>
        </is>
      </c>
    </row>
    <row r="45" ht="19" customHeight="1">
      <c r="A45" s="21" t="inlineStr">
        <is>
          <t>ORD-2025480</t>
        </is>
      </c>
      <c r="B45" s="21" t="inlineStr">
        <is>
          <t>2025-08-15</t>
        </is>
      </c>
      <c r="C45" s="21" t="inlineStr">
        <is>
          <t>PD-010-XS</t>
        </is>
      </c>
      <c r="D45" s="21" t="inlineStr">
        <is>
          <t>PD-010</t>
        </is>
      </c>
      <c r="E45" s="12" t="inlineStr">
        <is>
          <t>Noir Tailored Blazer</t>
        </is>
      </c>
      <c r="F45" s="12" t="inlineStr">
        <is>
          <t>Outerwear</t>
        </is>
      </c>
      <c r="G45" s="21" t="inlineStr">
        <is>
          <t>XS</t>
        </is>
      </c>
      <c r="H45" s="13" t="n">
        <v>2</v>
      </c>
      <c r="I45" s="14" t="n">
        <v>11000</v>
      </c>
      <c r="J45" s="14">
        <f>H45*I45</f>
        <v/>
      </c>
      <c r="K45" s="14" t="n">
        <v>4200</v>
      </c>
      <c r="L45" s="14">
        <f>H45*K45</f>
        <v/>
      </c>
      <c r="M45" s="14">
        <f>J45-L45</f>
        <v/>
      </c>
      <c r="N45" s="21" t="inlineStr">
        <is>
          <t>WH-DEL-03</t>
        </is>
      </c>
      <c r="O45" s="21" t="inlineStr">
        <is>
          <t>Online Store</t>
        </is>
      </c>
    </row>
    <row r="46" ht="19" customHeight="1">
      <c r="A46" s="20" t="inlineStr">
        <is>
          <t>ORD-2025108</t>
        </is>
      </c>
      <c r="B46" s="20" t="inlineStr">
        <is>
          <t>2025-08-16</t>
        </is>
      </c>
      <c r="C46" s="20" t="inlineStr">
        <is>
          <t>PD-006-S</t>
        </is>
      </c>
      <c r="D46" s="20" t="inlineStr">
        <is>
          <t>PD-006</t>
        </is>
      </c>
      <c r="E46" s="9" t="inlineStr">
        <is>
          <t>Chiffon Crimson Blouse</t>
        </is>
      </c>
      <c r="F46" s="9" t="inlineStr">
        <is>
          <t>Tops</t>
        </is>
      </c>
      <c r="G46" s="20" t="inlineStr">
        <is>
          <t>S</t>
        </is>
      </c>
      <c r="H46" s="10" t="n">
        <v>4</v>
      </c>
      <c r="I46" s="11" t="n">
        <v>3200</v>
      </c>
      <c r="J46" s="11">
        <f>H46*I46</f>
        <v/>
      </c>
      <c r="K46" s="11" t="n">
        <v>1100</v>
      </c>
      <c r="L46" s="11">
        <f>H46*K46</f>
        <v/>
      </c>
      <c r="M46" s="11">
        <f>J46-L46</f>
        <v/>
      </c>
      <c r="N46" s="20" t="inlineStr">
        <is>
          <t>WH-BLR-02</t>
        </is>
      </c>
      <c r="O46" s="20" t="inlineStr">
        <is>
          <t>Mobile App</t>
        </is>
      </c>
    </row>
    <row r="47" ht="19" customHeight="1">
      <c r="A47" s="21" t="inlineStr">
        <is>
          <t>ORD-2025271</t>
        </is>
      </c>
      <c r="B47" s="21" t="inlineStr">
        <is>
          <t>2025-08-16</t>
        </is>
      </c>
      <c r="C47" s="21" t="inlineStr">
        <is>
          <t>PD-007-XS</t>
        </is>
      </c>
      <c r="D47" s="21" t="inlineStr">
        <is>
          <t>PD-007</t>
        </is>
      </c>
      <c r="E47" s="12" t="inlineStr">
        <is>
          <t>Burgundy Trench Coat</t>
        </is>
      </c>
      <c r="F47" s="12" t="inlineStr">
        <is>
          <t>Outerwear</t>
        </is>
      </c>
      <c r="G47" s="21" t="inlineStr">
        <is>
          <t>XS</t>
        </is>
      </c>
      <c r="H47" s="13" t="n">
        <v>4</v>
      </c>
      <c r="I47" s="14" t="n">
        <v>12500</v>
      </c>
      <c r="J47" s="14">
        <f>H47*I47</f>
        <v/>
      </c>
      <c r="K47" s="14" t="n">
        <v>4800</v>
      </c>
      <c r="L47" s="14">
        <f>H47*K47</f>
        <v/>
      </c>
      <c r="M47" s="14">
        <f>J47-L47</f>
        <v/>
      </c>
      <c r="N47" s="21" t="inlineStr">
        <is>
          <t>WH-BLR-02</t>
        </is>
      </c>
      <c r="O47" s="21" t="inlineStr">
        <is>
          <t>Mobile App</t>
        </is>
      </c>
    </row>
    <row r="48" ht="19" customHeight="1">
      <c r="A48" s="20" t="inlineStr">
        <is>
          <t>ORD-2025383</t>
        </is>
      </c>
      <c r="B48" s="20" t="inlineStr">
        <is>
          <t>2025-08-18</t>
        </is>
      </c>
      <c r="C48" s="20" t="inlineStr">
        <is>
          <t>PD-007-L</t>
        </is>
      </c>
      <c r="D48" s="20" t="inlineStr">
        <is>
          <t>PD-007</t>
        </is>
      </c>
      <c r="E48" s="9" t="inlineStr">
        <is>
          <t>Burgundy Trench Coat</t>
        </is>
      </c>
      <c r="F48" s="9" t="inlineStr">
        <is>
          <t>Outerwear</t>
        </is>
      </c>
      <c r="G48" s="20" t="inlineStr">
        <is>
          <t>L</t>
        </is>
      </c>
      <c r="H48" s="10" t="n">
        <v>5</v>
      </c>
      <c r="I48" s="11" t="n">
        <v>12500</v>
      </c>
      <c r="J48" s="11">
        <f>H48*I48</f>
        <v/>
      </c>
      <c r="K48" s="11" t="n">
        <v>4800</v>
      </c>
      <c r="L48" s="11">
        <f>H48*K48</f>
        <v/>
      </c>
      <c r="M48" s="11">
        <f>J48-L48</f>
        <v/>
      </c>
      <c r="N48" s="20" t="inlineStr">
        <is>
          <t>WH-DEL-03</t>
        </is>
      </c>
      <c r="O48" s="20" t="inlineStr">
        <is>
          <t>Mobile App</t>
        </is>
      </c>
    </row>
    <row r="49" ht="19" customHeight="1">
      <c r="A49" s="21" t="inlineStr">
        <is>
          <t>ORD-2025080</t>
        </is>
      </c>
      <c r="B49" s="21" t="inlineStr">
        <is>
          <t>2025-08-19</t>
        </is>
      </c>
      <c r="C49" s="21" t="inlineStr">
        <is>
          <t>PD-009-M</t>
        </is>
      </c>
      <c r="D49" s="21" t="inlineStr">
        <is>
          <t>PD-009</t>
        </is>
      </c>
      <c r="E49" s="12" t="inlineStr">
        <is>
          <t>Syrah Pleated Maxi Skirt</t>
        </is>
      </c>
      <c r="F49" s="12" t="inlineStr">
        <is>
          <t>Skirts</t>
        </is>
      </c>
      <c r="G49" s="21" t="inlineStr">
        <is>
          <t>M</t>
        </is>
      </c>
      <c r="H49" s="13" t="n">
        <v>3</v>
      </c>
      <c r="I49" s="14" t="n">
        <v>5400</v>
      </c>
      <c r="J49" s="14">
        <f>H49*I49</f>
        <v/>
      </c>
      <c r="K49" s="14" t="n">
        <v>1900</v>
      </c>
      <c r="L49" s="14">
        <f>H49*K49</f>
        <v/>
      </c>
      <c r="M49" s="14">
        <f>J49-L49</f>
        <v/>
      </c>
      <c r="N49" s="21" t="inlineStr">
        <is>
          <t>WH-DEL-03</t>
        </is>
      </c>
      <c r="O49" s="21" t="inlineStr">
        <is>
          <t>Retail Store</t>
        </is>
      </c>
    </row>
    <row r="50" ht="19" customHeight="1">
      <c r="A50" s="20" t="inlineStr">
        <is>
          <t>ORD-2025264</t>
        </is>
      </c>
      <c r="B50" s="20" t="inlineStr">
        <is>
          <t>2025-08-19</t>
        </is>
      </c>
      <c r="C50" s="20" t="inlineStr">
        <is>
          <t>PD-010-L</t>
        </is>
      </c>
      <c r="D50" s="20" t="inlineStr">
        <is>
          <t>PD-010</t>
        </is>
      </c>
      <c r="E50" s="9" t="inlineStr">
        <is>
          <t>Noir Tailored Blazer</t>
        </is>
      </c>
      <c r="F50" s="9" t="inlineStr">
        <is>
          <t>Outerwear</t>
        </is>
      </c>
      <c r="G50" s="20" t="inlineStr">
        <is>
          <t>L</t>
        </is>
      </c>
      <c r="H50" s="10" t="n">
        <v>5</v>
      </c>
      <c r="I50" s="11" t="n">
        <v>11000</v>
      </c>
      <c r="J50" s="11">
        <f>H50*I50</f>
        <v/>
      </c>
      <c r="K50" s="11" t="n">
        <v>4200</v>
      </c>
      <c r="L50" s="11">
        <f>H50*K50</f>
        <v/>
      </c>
      <c r="M50" s="11">
        <f>J50-L50</f>
        <v/>
      </c>
      <c r="N50" s="20" t="inlineStr">
        <is>
          <t>WH-HYD-01</t>
        </is>
      </c>
      <c r="O50" s="20" t="inlineStr">
        <is>
          <t>Mobile App</t>
        </is>
      </c>
    </row>
    <row r="51" ht="19" customHeight="1">
      <c r="A51" s="21" t="inlineStr">
        <is>
          <t>ORD-2025315</t>
        </is>
      </c>
      <c r="B51" s="21" t="inlineStr">
        <is>
          <t>2025-08-20</t>
        </is>
      </c>
      <c r="C51" s="21" t="inlineStr">
        <is>
          <t>PD-006-XS</t>
        </is>
      </c>
      <c r="D51" s="21" t="inlineStr">
        <is>
          <t>PD-006</t>
        </is>
      </c>
      <c r="E51" s="12" t="inlineStr">
        <is>
          <t>Chiffon Crimson Blouse</t>
        </is>
      </c>
      <c r="F51" s="12" t="inlineStr">
        <is>
          <t>Tops</t>
        </is>
      </c>
      <c r="G51" s="21" t="inlineStr">
        <is>
          <t>XS</t>
        </is>
      </c>
      <c r="H51" s="13" t="n">
        <v>1</v>
      </c>
      <c r="I51" s="14" t="n">
        <v>3200</v>
      </c>
      <c r="J51" s="14">
        <f>H51*I51</f>
        <v/>
      </c>
      <c r="K51" s="14" t="n">
        <v>1100</v>
      </c>
      <c r="L51" s="14">
        <f>H51*K51</f>
        <v/>
      </c>
      <c r="M51" s="14">
        <f>J51-L51</f>
        <v/>
      </c>
      <c r="N51" s="21" t="inlineStr">
        <is>
          <t>WH-BLR-02</t>
        </is>
      </c>
      <c r="O51" s="21" t="inlineStr">
        <is>
          <t>Online Store</t>
        </is>
      </c>
    </row>
    <row r="52" ht="19" customHeight="1">
      <c r="A52" s="20" t="inlineStr">
        <is>
          <t>ORD-2025047</t>
        </is>
      </c>
      <c r="B52" s="20" t="inlineStr">
        <is>
          <t>2025-08-21</t>
        </is>
      </c>
      <c r="C52" s="20" t="inlineStr">
        <is>
          <t>PD-001-XS</t>
        </is>
      </c>
      <c r="D52" s="20" t="inlineStr">
        <is>
          <t>PD-001</t>
        </is>
      </c>
      <c r="E52" s="9" t="inlineStr">
        <is>
          <t>Cabernet Velvet Gown</t>
        </is>
      </c>
      <c r="F52" s="9" t="inlineStr">
        <is>
          <t>Dresses</t>
        </is>
      </c>
      <c r="G52" s="20" t="inlineStr">
        <is>
          <t>XS</t>
        </is>
      </c>
      <c r="H52" s="10" t="n">
        <v>4</v>
      </c>
      <c r="I52" s="11" t="n">
        <v>8500</v>
      </c>
      <c r="J52" s="11">
        <f>H52*I52</f>
        <v/>
      </c>
      <c r="K52" s="11" t="n">
        <v>3200</v>
      </c>
      <c r="L52" s="11">
        <f>H52*K52</f>
        <v/>
      </c>
      <c r="M52" s="11">
        <f>J52-L52</f>
        <v/>
      </c>
      <c r="N52" s="20" t="inlineStr">
        <is>
          <t>WH-DEL-03</t>
        </is>
      </c>
      <c r="O52" s="20" t="inlineStr">
        <is>
          <t>Mobile App</t>
        </is>
      </c>
    </row>
    <row r="53" ht="19" customHeight="1">
      <c r="A53" s="21" t="inlineStr">
        <is>
          <t>ORD-2025417</t>
        </is>
      </c>
      <c r="B53" s="21" t="inlineStr">
        <is>
          <t>2025-08-21</t>
        </is>
      </c>
      <c r="C53" s="21" t="inlineStr">
        <is>
          <t>PD-006-L</t>
        </is>
      </c>
      <c r="D53" s="21" t="inlineStr">
        <is>
          <t>PD-006</t>
        </is>
      </c>
      <c r="E53" s="12" t="inlineStr">
        <is>
          <t>Chiffon Crimson Blouse</t>
        </is>
      </c>
      <c r="F53" s="12" t="inlineStr">
        <is>
          <t>Tops</t>
        </is>
      </c>
      <c r="G53" s="21" t="inlineStr">
        <is>
          <t>L</t>
        </is>
      </c>
      <c r="H53" s="13" t="n">
        <v>2</v>
      </c>
      <c r="I53" s="14" t="n">
        <v>3200</v>
      </c>
      <c r="J53" s="14">
        <f>H53*I53</f>
        <v/>
      </c>
      <c r="K53" s="14" t="n">
        <v>1100</v>
      </c>
      <c r="L53" s="14">
        <f>H53*K53</f>
        <v/>
      </c>
      <c r="M53" s="14">
        <f>J53-L53</f>
        <v/>
      </c>
      <c r="N53" s="21" t="inlineStr">
        <is>
          <t>WH-DEL-03</t>
        </is>
      </c>
      <c r="O53" s="21" t="inlineStr">
        <is>
          <t>Retail Store</t>
        </is>
      </c>
    </row>
    <row r="54" ht="19" customHeight="1">
      <c r="A54" s="20" t="inlineStr">
        <is>
          <t>ORD-2025426</t>
        </is>
      </c>
      <c r="B54" s="20" t="inlineStr">
        <is>
          <t>2025-08-21</t>
        </is>
      </c>
      <c r="C54" s="20" t="inlineStr">
        <is>
          <t>PD-002-L</t>
        </is>
      </c>
      <c r="D54" s="20" t="inlineStr">
        <is>
          <t>PD-002</t>
        </is>
      </c>
      <c r="E54" s="9" t="inlineStr">
        <is>
          <t>Merlot Satin Slip Dress</t>
        </is>
      </c>
      <c r="F54" s="9" t="inlineStr">
        <is>
          <t>Dresses</t>
        </is>
      </c>
      <c r="G54" s="20" t="inlineStr">
        <is>
          <t>L</t>
        </is>
      </c>
      <c r="H54" s="10" t="n">
        <v>3</v>
      </c>
      <c r="I54" s="11" t="n">
        <v>6200</v>
      </c>
      <c r="J54" s="11">
        <f>H54*I54</f>
        <v/>
      </c>
      <c r="K54" s="11" t="n">
        <v>2100</v>
      </c>
      <c r="L54" s="11">
        <f>H54*K54</f>
        <v/>
      </c>
      <c r="M54" s="11">
        <f>J54-L54</f>
        <v/>
      </c>
      <c r="N54" s="20" t="inlineStr">
        <is>
          <t>WH-DEL-03</t>
        </is>
      </c>
      <c r="O54" s="20" t="inlineStr">
        <is>
          <t>Online Store</t>
        </is>
      </c>
    </row>
    <row r="55" ht="19" customHeight="1">
      <c r="A55" s="21" t="inlineStr">
        <is>
          <t>ORD-2025131</t>
        </is>
      </c>
      <c r="B55" s="21" t="inlineStr">
        <is>
          <t>2025-08-22</t>
        </is>
      </c>
      <c r="C55" s="21" t="inlineStr">
        <is>
          <t>PD-008-M</t>
        </is>
      </c>
      <c r="D55" s="21" t="inlineStr">
        <is>
          <t>PD-008</t>
        </is>
      </c>
      <c r="E55" s="12" t="inlineStr">
        <is>
          <t>Tuscan Sun Silk Skirt</t>
        </is>
      </c>
      <c r="F55" s="12" t="inlineStr">
        <is>
          <t>Skirts</t>
        </is>
      </c>
      <c r="G55" s="21" t="inlineStr">
        <is>
          <t>M</t>
        </is>
      </c>
      <c r="H55" s="13" t="n">
        <v>2</v>
      </c>
      <c r="I55" s="14" t="n">
        <v>4500</v>
      </c>
      <c r="J55" s="14">
        <f>H55*I55</f>
        <v/>
      </c>
      <c r="K55" s="14" t="n">
        <v>1600</v>
      </c>
      <c r="L55" s="14">
        <f>H55*K55</f>
        <v/>
      </c>
      <c r="M55" s="14">
        <f>J55-L55</f>
        <v/>
      </c>
      <c r="N55" s="21" t="inlineStr">
        <is>
          <t>WH-HYD-01</t>
        </is>
      </c>
      <c r="O55" s="21" t="inlineStr">
        <is>
          <t>Mobile App</t>
        </is>
      </c>
    </row>
    <row r="56" ht="19" customHeight="1">
      <c r="A56" s="20" t="inlineStr">
        <is>
          <t>ORD-2025245</t>
        </is>
      </c>
      <c r="B56" s="20" t="inlineStr">
        <is>
          <t>2025-08-22</t>
        </is>
      </c>
      <c r="C56" s="20" t="inlineStr">
        <is>
          <t>PD-002-XL</t>
        </is>
      </c>
      <c r="D56" s="20" t="inlineStr">
        <is>
          <t>PD-002</t>
        </is>
      </c>
      <c r="E56" s="9" t="inlineStr">
        <is>
          <t>Merlot Satin Slip Dress</t>
        </is>
      </c>
      <c r="F56" s="9" t="inlineStr">
        <is>
          <t>Dresses</t>
        </is>
      </c>
      <c r="G56" s="20" t="inlineStr">
        <is>
          <t>XL</t>
        </is>
      </c>
      <c r="H56" s="10" t="n">
        <v>2</v>
      </c>
      <c r="I56" s="11" t="n">
        <v>6200</v>
      </c>
      <c r="J56" s="11">
        <f>H56*I56</f>
        <v/>
      </c>
      <c r="K56" s="11" t="n">
        <v>2100</v>
      </c>
      <c r="L56" s="11">
        <f>H56*K56</f>
        <v/>
      </c>
      <c r="M56" s="11">
        <f>J56-L56</f>
        <v/>
      </c>
      <c r="N56" s="20" t="inlineStr">
        <is>
          <t>WH-DEL-03</t>
        </is>
      </c>
      <c r="O56" s="20" t="inlineStr">
        <is>
          <t>Mobile App</t>
        </is>
      </c>
    </row>
    <row r="57" ht="19" customHeight="1">
      <c r="A57" s="21" t="inlineStr">
        <is>
          <t>ORD-2025013</t>
        </is>
      </c>
      <c r="B57" s="21" t="inlineStr">
        <is>
          <t>2025-08-24</t>
        </is>
      </c>
      <c r="C57" s="21" t="inlineStr">
        <is>
          <t>PD-002-XS</t>
        </is>
      </c>
      <c r="D57" s="21" t="inlineStr">
        <is>
          <t>PD-002</t>
        </is>
      </c>
      <c r="E57" s="12" t="inlineStr">
        <is>
          <t>Merlot Satin Slip Dress</t>
        </is>
      </c>
      <c r="F57" s="12" t="inlineStr">
        <is>
          <t>Dresses</t>
        </is>
      </c>
      <c r="G57" s="21" t="inlineStr">
        <is>
          <t>XS</t>
        </is>
      </c>
      <c r="H57" s="13" t="n">
        <v>4</v>
      </c>
      <c r="I57" s="14" t="n">
        <v>6200</v>
      </c>
      <c r="J57" s="14">
        <f>H57*I57</f>
        <v/>
      </c>
      <c r="K57" s="14" t="n">
        <v>2100</v>
      </c>
      <c r="L57" s="14">
        <f>H57*K57</f>
        <v/>
      </c>
      <c r="M57" s="14">
        <f>J57-L57</f>
        <v/>
      </c>
      <c r="N57" s="21" t="inlineStr">
        <is>
          <t>WH-HYD-01</t>
        </is>
      </c>
      <c r="O57" s="21" t="inlineStr">
        <is>
          <t>Mobile App</t>
        </is>
      </c>
    </row>
    <row r="58" ht="19" customHeight="1">
      <c r="A58" s="20" t="inlineStr">
        <is>
          <t>ORD-2025374</t>
        </is>
      </c>
      <c r="B58" s="20" t="inlineStr">
        <is>
          <t>2025-08-24</t>
        </is>
      </c>
      <c r="C58" s="20" t="inlineStr">
        <is>
          <t>PD-001-S</t>
        </is>
      </c>
      <c r="D58" s="20" t="inlineStr">
        <is>
          <t>PD-001</t>
        </is>
      </c>
      <c r="E58" s="9" t="inlineStr">
        <is>
          <t>Cabernet Velvet Gown</t>
        </is>
      </c>
      <c r="F58" s="9" t="inlineStr">
        <is>
          <t>Dresses</t>
        </is>
      </c>
      <c r="G58" s="20" t="inlineStr">
        <is>
          <t>S</t>
        </is>
      </c>
      <c r="H58" s="10" t="n">
        <v>3</v>
      </c>
      <c r="I58" s="11" t="n">
        <v>8500</v>
      </c>
      <c r="J58" s="11">
        <f>H58*I58</f>
        <v/>
      </c>
      <c r="K58" s="11" t="n">
        <v>3200</v>
      </c>
      <c r="L58" s="11">
        <f>H58*K58</f>
        <v/>
      </c>
      <c r="M58" s="11">
        <f>J58-L58</f>
        <v/>
      </c>
      <c r="N58" s="20" t="inlineStr">
        <is>
          <t>WH-HYD-01</t>
        </is>
      </c>
      <c r="O58" s="20" t="inlineStr">
        <is>
          <t>Online Store</t>
        </is>
      </c>
    </row>
    <row r="59" ht="19" customHeight="1">
      <c r="A59" s="21" t="inlineStr">
        <is>
          <t>ORD-2025432</t>
        </is>
      </c>
      <c r="B59" s="21" t="inlineStr">
        <is>
          <t>2025-08-24</t>
        </is>
      </c>
      <c r="C59" s="21" t="inlineStr">
        <is>
          <t>PD-004-S</t>
        </is>
      </c>
      <c r="D59" s="21" t="inlineStr">
        <is>
          <t>PD-004</t>
        </is>
      </c>
      <c r="E59" s="12" t="inlineStr">
        <is>
          <t>Rosé Off-Shoulder Mini</t>
        </is>
      </c>
      <c r="F59" s="12" t="inlineStr">
        <is>
          <t>Dresses</t>
        </is>
      </c>
      <c r="G59" s="21" t="inlineStr">
        <is>
          <t>S</t>
        </is>
      </c>
      <c r="H59" s="13" t="n">
        <v>2</v>
      </c>
      <c r="I59" s="14" t="n">
        <v>4900</v>
      </c>
      <c r="J59" s="14">
        <f>H59*I59</f>
        <v/>
      </c>
      <c r="K59" s="14" t="n">
        <v>1800</v>
      </c>
      <c r="L59" s="14">
        <f>H59*K59</f>
        <v/>
      </c>
      <c r="M59" s="14">
        <f>J59-L59</f>
        <v/>
      </c>
      <c r="N59" s="21" t="inlineStr">
        <is>
          <t>WH-DEL-03</t>
        </is>
      </c>
      <c r="O59" s="21" t="inlineStr">
        <is>
          <t>Mobile App</t>
        </is>
      </c>
    </row>
    <row r="60" ht="19" customHeight="1">
      <c r="A60" s="20" t="inlineStr">
        <is>
          <t>ORD-2025118</t>
        </is>
      </c>
      <c r="B60" s="20" t="inlineStr">
        <is>
          <t>2025-08-26</t>
        </is>
      </c>
      <c r="C60" s="20" t="inlineStr">
        <is>
          <t>PD-009-S</t>
        </is>
      </c>
      <c r="D60" s="20" t="inlineStr">
        <is>
          <t>PD-009</t>
        </is>
      </c>
      <c r="E60" s="9" t="inlineStr">
        <is>
          <t>Syrah Pleated Maxi Skirt</t>
        </is>
      </c>
      <c r="F60" s="9" t="inlineStr">
        <is>
          <t>Skirts</t>
        </is>
      </c>
      <c r="G60" s="20" t="inlineStr">
        <is>
          <t>S</t>
        </is>
      </c>
      <c r="H60" s="10" t="n">
        <v>4</v>
      </c>
      <c r="I60" s="11" t="n">
        <v>5400</v>
      </c>
      <c r="J60" s="11">
        <f>H60*I60</f>
        <v/>
      </c>
      <c r="K60" s="11" t="n">
        <v>1900</v>
      </c>
      <c r="L60" s="11">
        <f>H60*K60</f>
        <v/>
      </c>
      <c r="M60" s="11">
        <f>J60-L60</f>
        <v/>
      </c>
      <c r="N60" s="20" t="inlineStr">
        <is>
          <t>WH-HYD-01</t>
        </is>
      </c>
      <c r="O60" s="20" t="inlineStr">
        <is>
          <t>Retail Store</t>
        </is>
      </c>
    </row>
    <row r="61" ht="19" customHeight="1">
      <c r="A61" s="21" t="inlineStr">
        <is>
          <t>ORD-2025165</t>
        </is>
      </c>
      <c r="B61" s="21" t="inlineStr">
        <is>
          <t>2025-08-27</t>
        </is>
      </c>
      <c r="C61" s="21" t="inlineStr">
        <is>
          <t>PD-004-XS</t>
        </is>
      </c>
      <c r="D61" s="21" t="inlineStr">
        <is>
          <t>PD-004</t>
        </is>
      </c>
      <c r="E61" s="12" t="inlineStr">
        <is>
          <t>Rosé Off-Shoulder Mini</t>
        </is>
      </c>
      <c r="F61" s="12" t="inlineStr">
        <is>
          <t>Dresses</t>
        </is>
      </c>
      <c r="G61" s="21" t="inlineStr">
        <is>
          <t>XS</t>
        </is>
      </c>
      <c r="H61" s="13" t="n">
        <v>1</v>
      </c>
      <c r="I61" s="14" t="n">
        <v>4900</v>
      </c>
      <c r="J61" s="14">
        <f>H61*I61</f>
        <v/>
      </c>
      <c r="K61" s="14" t="n">
        <v>1800</v>
      </c>
      <c r="L61" s="14">
        <f>H61*K61</f>
        <v/>
      </c>
      <c r="M61" s="14">
        <f>J61-L61</f>
        <v/>
      </c>
      <c r="N61" s="21" t="inlineStr">
        <is>
          <t>WH-DEL-03</t>
        </is>
      </c>
      <c r="O61" s="21" t="inlineStr">
        <is>
          <t>Retail Store</t>
        </is>
      </c>
    </row>
    <row r="62" ht="19" customHeight="1">
      <c r="A62" s="20" t="inlineStr">
        <is>
          <t>ORD-2025286</t>
        </is>
      </c>
      <c r="B62" s="20" t="inlineStr">
        <is>
          <t>2025-08-27</t>
        </is>
      </c>
      <c r="C62" s="20" t="inlineStr">
        <is>
          <t>PD-002-XS</t>
        </is>
      </c>
      <c r="D62" s="20" t="inlineStr">
        <is>
          <t>PD-002</t>
        </is>
      </c>
      <c r="E62" s="9" t="inlineStr">
        <is>
          <t>Merlot Satin Slip Dress</t>
        </is>
      </c>
      <c r="F62" s="9" t="inlineStr">
        <is>
          <t>Dresses</t>
        </is>
      </c>
      <c r="G62" s="20" t="inlineStr">
        <is>
          <t>XS</t>
        </is>
      </c>
      <c r="H62" s="10" t="n">
        <v>4</v>
      </c>
      <c r="I62" s="11" t="n">
        <v>6200</v>
      </c>
      <c r="J62" s="11">
        <f>H62*I62</f>
        <v/>
      </c>
      <c r="K62" s="11" t="n">
        <v>2100</v>
      </c>
      <c r="L62" s="11">
        <f>H62*K62</f>
        <v/>
      </c>
      <c r="M62" s="11">
        <f>J62-L62</f>
        <v/>
      </c>
      <c r="N62" s="20" t="inlineStr">
        <is>
          <t>WH-HYD-01</t>
        </is>
      </c>
      <c r="O62" s="20" t="inlineStr">
        <is>
          <t>Mobile App</t>
        </is>
      </c>
    </row>
    <row r="63" ht="19" customHeight="1">
      <c r="A63" s="21" t="inlineStr">
        <is>
          <t>ORD-2025303</t>
        </is>
      </c>
      <c r="B63" s="21" t="inlineStr">
        <is>
          <t>2025-08-27</t>
        </is>
      </c>
      <c r="C63" s="21" t="inlineStr">
        <is>
          <t>PD-001-L</t>
        </is>
      </c>
      <c r="D63" s="21" t="inlineStr">
        <is>
          <t>PD-001</t>
        </is>
      </c>
      <c r="E63" s="12" t="inlineStr">
        <is>
          <t>Cabernet Velvet Gown</t>
        </is>
      </c>
      <c r="F63" s="12" t="inlineStr">
        <is>
          <t>Dresses</t>
        </is>
      </c>
      <c r="G63" s="21" t="inlineStr">
        <is>
          <t>L</t>
        </is>
      </c>
      <c r="H63" s="13" t="n">
        <v>2</v>
      </c>
      <c r="I63" s="14" t="n">
        <v>8500</v>
      </c>
      <c r="J63" s="14">
        <f>H63*I63</f>
        <v/>
      </c>
      <c r="K63" s="14" t="n">
        <v>3200</v>
      </c>
      <c r="L63" s="14">
        <f>H63*K63</f>
        <v/>
      </c>
      <c r="M63" s="14">
        <f>J63-L63</f>
        <v/>
      </c>
      <c r="N63" s="21" t="inlineStr">
        <is>
          <t>WH-HYD-01</t>
        </is>
      </c>
      <c r="O63" s="21" t="inlineStr">
        <is>
          <t>Mobile App</t>
        </is>
      </c>
    </row>
    <row r="64" ht="19" customHeight="1">
      <c r="A64" s="20" t="inlineStr">
        <is>
          <t>ORD-2025339</t>
        </is>
      </c>
      <c r="B64" s="20" t="inlineStr">
        <is>
          <t>2025-08-27</t>
        </is>
      </c>
      <c r="C64" s="20" t="inlineStr">
        <is>
          <t>PD-007-M</t>
        </is>
      </c>
      <c r="D64" s="20" t="inlineStr">
        <is>
          <t>PD-007</t>
        </is>
      </c>
      <c r="E64" s="9" t="inlineStr">
        <is>
          <t>Burgundy Trench Coat</t>
        </is>
      </c>
      <c r="F64" s="9" t="inlineStr">
        <is>
          <t>Outerwear</t>
        </is>
      </c>
      <c r="G64" s="20" t="inlineStr">
        <is>
          <t>M</t>
        </is>
      </c>
      <c r="H64" s="10" t="n">
        <v>2</v>
      </c>
      <c r="I64" s="11" t="n">
        <v>12500</v>
      </c>
      <c r="J64" s="11">
        <f>H64*I64</f>
        <v/>
      </c>
      <c r="K64" s="11" t="n">
        <v>4800</v>
      </c>
      <c r="L64" s="11">
        <f>H64*K64</f>
        <v/>
      </c>
      <c r="M64" s="11">
        <f>J64-L64</f>
        <v/>
      </c>
      <c r="N64" s="20" t="inlineStr">
        <is>
          <t>WH-HYD-01</t>
        </is>
      </c>
      <c r="O64" s="20" t="inlineStr">
        <is>
          <t>Online Store</t>
        </is>
      </c>
    </row>
    <row r="65" ht="19" customHeight="1">
      <c r="A65" s="21" t="inlineStr">
        <is>
          <t>ORD-2025418</t>
        </is>
      </c>
      <c r="B65" s="21" t="inlineStr">
        <is>
          <t>2025-08-28</t>
        </is>
      </c>
      <c r="C65" s="21" t="inlineStr">
        <is>
          <t>PD-009-L</t>
        </is>
      </c>
      <c r="D65" s="21" t="inlineStr">
        <is>
          <t>PD-009</t>
        </is>
      </c>
      <c r="E65" s="12" t="inlineStr">
        <is>
          <t>Syrah Pleated Maxi Skirt</t>
        </is>
      </c>
      <c r="F65" s="12" t="inlineStr">
        <is>
          <t>Skirts</t>
        </is>
      </c>
      <c r="G65" s="21" t="inlineStr">
        <is>
          <t>L</t>
        </is>
      </c>
      <c r="H65" s="13" t="n">
        <v>3</v>
      </c>
      <c r="I65" s="14" t="n">
        <v>5400</v>
      </c>
      <c r="J65" s="14">
        <f>H65*I65</f>
        <v/>
      </c>
      <c r="K65" s="14" t="n">
        <v>1900</v>
      </c>
      <c r="L65" s="14">
        <f>H65*K65</f>
        <v/>
      </c>
      <c r="M65" s="14">
        <f>J65-L65</f>
        <v/>
      </c>
      <c r="N65" s="21" t="inlineStr">
        <is>
          <t>WH-DEL-03</t>
        </is>
      </c>
      <c r="O65" s="21" t="inlineStr">
        <is>
          <t>Retail Store</t>
        </is>
      </c>
    </row>
    <row r="66" ht="19" customHeight="1">
      <c r="A66" s="20" t="inlineStr">
        <is>
          <t>ORD-2025424</t>
        </is>
      </c>
      <c r="B66" s="20" t="inlineStr">
        <is>
          <t>2025-08-28</t>
        </is>
      </c>
      <c r="C66" s="20" t="inlineStr">
        <is>
          <t>PD-001-XL</t>
        </is>
      </c>
      <c r="D66" s="20" t="inlineStr">
        <is>
          <t>PD-001</t>
        </is>
      </c>
      <c r="E66" s="9" t="inlineStr">
        <is>
          <t>Cabernet Velvet Gown</t>
        </is>
      </c>
      <c r="F66" s="9" t="inlineStr">
        <is>
          <t>Dresses</t>
        </is>
      </c>
      <c r="G66" s="20" t="inlineStr">
        <is>
          <t>XL</t>
        </is>
      </c>
      <c r="H66" s="10" t="n">
        <v>3</v>
      </c>
      <c r="I66" s="11" t="n">
        <v>8500</v>
      </c>
      <c r="J66" s="11">
        <f>H66*I66</f>
        <v/>
      </c>
      <c r="K66" s="11" t="n">
        <v>3200</v>
      </c>
      <c r="L66" s="11">
        <f>H66*K66</f>
        <v/>
      </c>
      <c r="M66" s="11">
        <f>J66-L66</f>
        <v/>
      </c>
      <c r="N66" s="20" t="inlineStr">
        <is>
          <t>WH-BLR-02</t>
        </is>
      </c>
      <c r="O66" s="20" t="inlineStr">
        <is>
          <t>Mobile App</t>
        </is>
      </c>
    </row>
    <row r="67" ht="19" customHeight="1">
      <c r="A67" s="21" t="inlineStr">
        <is>
          <t>ORD-2025191</t>
        </is>
      </c>
      <c r="B67" s="21" t="inlineStr">
        <is>
          <t>2025-08-29</t>
        </is>
      </c>
      <c r="C67" s="21" t="inlineStr">
        <is>
          <t>PD-005-XS</t>
        </is>
      </c>
      <c r="D67" s="21" t="inlineStr">
        <is>
          <t>PD-005</t>
        </is>
      </c>
      <c r="E67" s="12" t="inlineStr">
        <is>
          <t>Shiraz Wrap Evening Dress</t>
        </is>
      </c>
      <c r="F67" s="12" t="inlineStr">
        <is>
          <t>Dresses</t>
        </is>
      </c>
      <c r="G67" s="21" t="inlineStr">
        <is>
          <t>XS</t>
        </is>
      </c>
      <c r="H67" s="13" t="n">
        <v>3</v>
      </c>
      <c r="I67" s="14" t="n">
        <v>9200</v>
      </c>
      <c r="J67" s="14">
        <f>H67*I67</f>
        <v/>
      </c>
      <c r="K67" s="14" t="n">
        <v>3500</v>
      </c>
      <c r="L67" s="14">
        <f>H67*K67</f>
        <v/>
      </c>
      <c r="M67" s="14">
        <f>J67-L67</f>
        <v/>
      </c>
      <c r="N67" s="21" t="inlineStr">
        <is>
          <t>WH-BLR-02</t>
        </is>
      </c>
      <c r="O67" s="21" t="inlineStr">
        <is>
          <t>Online Store</t>
        </is>
      </c>
    </row>
    <row r="68" ht="19" customHeight="1">
      <c r="A68" s="20" t="inlineStr">
        <is>
          <t>ORD-2025500</t>
        </is>
      </c>
      <c r="B68" s="20" t="inlineStr">
        <is>
          <t>2025-08-29</t>
        </is>
      </c>
      <c r="C68" s="20" t="inlineStr">
        <is>
          <t>PD-009-S</t>
        </is>
      </c>
      <c r="D68" s="20" t="inlineStr">
        <is>
          <t>PD-009</t>
        </is>
      </c>
      <c r="E68" s="9" t="inlineStr">
        <is>
          <t>Syrah Pleated Maxi Skirt</t>
        </is>
      </c>
      <c r="F68" s="9" t="inlineStr">
        <is>
          <t>Skirts</t>
        </is>
      </c>
      <c r="G68" s="20" t="inlineStr">
        <is>
          <t>S</t>
        </is>
      </c>
      <c r="H68" s="10" t="n">
        <v>5</v>
      </c>
      <c r="I68" s="11" t="n">
        <v>5400</v>
      </c>
      <c r="J68" s="11">
        <f>H68*I68</f>
        <v/>
      </c>
      <c r="K68" s="11" t="n">
        <v>1900</v>
      </c>
      <c r="L68" s="11">
        <f>H68*K68</f>
        <v/>
      </c>
      <c r="M68" s="11">
        <f>J68-L68</f>
        <v/>
      </c>
      <c r="N68" s="20" t="inlineStr">
        <is>
          <t>WH-HYD-01</t>
        </is>
      </c>
      <c r="O68" s="20" t="inlineStr">
        <is>
          <t>Mobile App</t>
        </is>
      </c>
    </row>
    <row r="69" ht="19" customHeight="1">
      <c r="A69" s="21" t="inlineStr">
        <is>
          <t>ORD-2025241</t>
        </is>
      </c>
      <c r="B69" s="21" t="inlineStr">
        <is>
          <t>2025-08-30</t>
        </is>
      </c>
      <c r="C69" s="21" t="inlineStr">
        <is>
          <t>PD-004-L</t>
        </is>
      </c>
      <c r="D69" s="21" t="inlineStr">
        <is>
          <t>PD-004</t>
        </is>
      </c>
      <c r="E69" s="12" t="inlineStr">
        <is>
          <t>Rosé Off-Shoulder Mini</t>
        </is>
      </c>
      <c r="F69" s="12" t="inlineStr">
        <is>
          <t>Dresses</t>
        </is>
      </c>
      <c r="G69" s="21" t="inlineStr">
        <is>
          <t>L</t>
        </is>
      </c>
      <c r="H69" s="13" t="n">
        <v>3</v>
      </c>
      <c r="I69" s="14" t="n">
        <v>4900</v>
      </c>
      <c r="J69" s="14">
        <f>H69*I69</f>
        <v/>
      </c>
      <c r="K69" s="14" t="n">
        <v>1800</v>
      </c>
      <c r="L69" s="14">
        <f>H69*K69</f>
        <v/>
      </c>
      <c r="M69" s="14">
        <f>J69-L69</f>
        <v/>
      </c>
      <c r="N69" s="21" t="inlineStr">
        <is>
          <t>WH-DEL-03</t>
        </is>
      </c>
      <c r="O69" s="21" t="inlineStr">
        <is>
          <t>Retail Store</t>
        </is>
      </c>
    </row>
    <row r="70" ht="19" customHeight="1">
      <c r="A70" s="20" t="inlineStr">
        <is>
          <t>ORD-2025452</t>
        </is>
      </c>
      <c r="B70" s="20" t="inlineStr">
        <is>
          <t>2025-08-30</t>
        </is>
      </c>
      <c r="C70" s="20" t="inlineStr">
        <is>
          <t>PD-006-XS</t>
        </is>
      </c>
      <c r="D70" s="20" t="inlineStr">
        <is>
          <t>PD-006</t>
        </is>
      </c>
      <c r="E70" s="9" t="inlineStr">
        <is>
          <t>Chiffon Crimson Blouse</t>
        </is>
      </c>
      <c r="F70" s="9" t="inlineStr">
        <is>
          <t>Tops</t>
        </is>
      </c>
      <c r="G70" s="20" t="inlineStr">
        <is>
          <t>XS</t>
        </is>
      </c>
      <c r="H70" s="10" t="n">
        <v>5</v>
      </c>
      <c r="I70" s="11" t="n">
        <v>3200</v>
      </c>
      <c r="J70" s="11">
        <f>H70*I70</f>
        <v/>
      </c>
      <c r="K70" s="11" t="n">
        <v>1100</v>
      </c>
      <c r="L70" s="11">
        <f>H70*K70</f>
        <v/>
      </c>
      <c r="M70" s="11">
        <f>J70-L70</f>
        <v/>
      </c>
      <c r="N70" s="20" t="inlineStr">
        <is>
          <t>WH-BLR-02</t>
        </is>
      </c>
      <c r="O70" s="20" t="inlineStr">
        <is>
          <t>Online Store</t>
        </is>
      </c>
    </row>
    <row r="71" ht="19" customHeight="1">
      <c r="A71" s="21" t="inlineStr">
        <is>
          <t>ORD-2025148</t>
        </is>
      </c>
      <c r="B71" s="21" t="inlineStr">
        <is>
          <t>2025-08-31</t>
        </is>
      </c>
      <c r="C71" s="21" t="inlineStr">
        <is>
          <t>PD-004-L</t>
        </is>
      </c>
      <c r="D71" s="21" t="inlineStr">
        <is>
          <t>PD-004</t>
        </is>
      </c>
      <c r="E71" s="12" t="inlineStr">
        <is>
          <t>Rosé Off-Shoulder Mini</t>
        </is>
      </c>
      <c r="F71" s="12" t="inlineStr">
        <is>
          <t>Dresses</t>
        </is>
      </c>
      <c r="G71" s="21" t="inlineStr">
        <is>
          <t>L</t>
        </is>
      </c>
      <c r="H71" s="13" t="n">
        <v>2</v>
      </c>
      <c r="I71" s="14" t="n">
        <v>4900</v>
      </c>
      <c r="J71" s="14">
        <f>H71*I71</f>
        <v/>
      </c>
      <c r="K71" s="14" t="n">
        <v>1800</v>
      </c>
      <c r="L71" s="14">
        <f>H71*K71</f>
        <v/>
      </c>
      <c r="M71" s="14">
        <f>J71-L71</f>
        <v/>
      </c>
      <c r="N71" s="21" t="inlineStr">
        <is>
          <t>WH-BLR-02</t>
        </is>
      </c>
      <c r="O71" s="21" t="inlineStr">
        <is>
          <t>Mobile App</t>
        </is>
      </c>
    </row>
    <row r="72" ht="19" customHeight="1">
      <c r="A72" s="20" t="inlineStr">
        <is>
          <t>ORD-2025199</t>
        </is>
      </c>
      <c r="B72" s="20" t="inlineStr">
        <is>
          <t>2025-08-31</t>
        </is>
      </c>
      <c r="C72" s="20" t="inlineStr">
        <is>
          <t>PD-003-XL</t>
        </is>
      </c>
      <c r="D72" s="20" t="inlineStr">
        <is>
          <t>PD-003</t>
        </is>
      </c>
      <c r="E72" s="9" t="inlineStr">
        <is>
          <t>Bordeaux Lace Midi</t>
        </is>
      </c>
      <c r="F72" s="9" t="inlineStr">
        <is>
          <t>Dresses</t>
        </is>
      </c>
      <c r="G72" s="20" t="inlineStr">
        <is>
          <t>XL</t>
        </is>
      </c>
      <c r="H72" s="10" t="n">
        <v>1</v>
      </c>
      <c r="I72" s="11" t="n">
        <v>7800</v>
      </c>
      <c r="J72" s="11">
        <f>H72*I72</f>
        <v/>
      </c>
      <c r="K72" s="11" t="n">
        <v>2800</v>
      </c>
      <c r="L72" s="11">
        <f>H72*K72</f>
        <v/>
      </c>
      <c r="M72" s="11">
        <f>J72-L72</f>
        <v/>
      </c>
      <c r="N72" s="20" t="inlineStr">
        <is>
          <t>WH-BLR-02</t>
        </is>
      </c>
      <c r="O72" s="20" t="inlineStr">
        <is>
          <t>Online Store</t>
        </is>
      </c>
    </row>
    <row r="73" ht="19" customHeight="1">
      <c r="A73" s="21" t="inlineStr">
        <is>
          <t>ORD-2025434</t>
        </is>
      </c>
      <c r="B73" s="21" t="inlineStr">
        <is>
          <t>2025-08-31</t>
        </is>
      </c>
      <c r="C73" s="21" t="inlineStr">
        <is>
          <t>PD-007-M</t>
        </is>
      </c>
      <c r="D73" s="21" t="inlineStr">
        <is>
          <t>PD-007</t>
        </is>
      </c>
      <c r="E73" s="12" t="inlineStr">
        <is>
          <t>Burgundy Trench Coat</t>
        </is>
      </c>
      <c r="F73" s="12" t="inlineStr">
        <is>
          <t>Outerwear</t>
        </is>
      </c>
      <c r="G73" s="21" t="inlineStr">
        <is>
          <t>M</t>
        </is>
      </c>
      <c r="H73" s="13" t="n">
        <v>2</v>
      </c>
      <c r="I73" s="14" t="n">
        <v>12500</v>
      </c>
      <c r="J73" s="14">
        <f>H73*I73</f>
        <v/>
      </c>
      <c r="K73" s="14" t="n">
        <v>4800</v>
      </c>
      <c r="L73" s="14">
        <f>H73*K73</f>
        <v/>
      </c>
      <c r="M73" s="14">
        <f>J73-L73</f>
        <v/>
      </c>
      <c r="N73" s="21" t="inlineStr">
        <is>
          <t>WH-DEL-03</t>
        </is>
      </c>
      <c r="O73" s="21" t="inlineStr">
        <is>
          <t>Mobile App</t>
        </is>
      </c>
    </row>
    <row r="74" ht="19" customHeight="1">
      <c r="A74" s="20" t="inlineStr">
        <is>
          <t>ORD-2025344</t>
        </is>
      </c>
      <c r="B74" s="20" t="inlineStr">
        <is>
          <t>2025-09-01</t>
        </is>
      </c>
      <c r="C74" s="20" t="inlineStr">
        <is>
          <t>PD-008-XS</t>
        </is>
      </c>
      <c r="D74" s="20" t="inlineStr">
        <is>
          <t>PD-008</t>
        </is>
      </c>
      <c r="E74" s="9" t="inlineStr">
        <is>
          <t>Tuscan Sun Silk Skirt</t>
        </is>
      </c>
      <c r="F74" s="9" t="inlineStr">
        <is>
          <t>Skirts</t>
        </is>
      </c>
      <c r="G74" s="20" t="inlineStr">
        <is>
          <t>XS</t>
        </is>
      </c>
      <c r="H74" s="10" t="n">
        <v>4</v>
      </c>
      <c r="I74" s="11" t="n">
        <v>4500</v>
      </c>
      <c r="J74" s="11">
        <f>H74*I74</f>
        <v/>
      </c>
      <c r="K74" s="11" t="n">
        <v>1600</v>
      </c>
      <c r="L74" s="11">
        <f>H74*K74</f>
        <v/>
      </c>
      <c r="M74" s="11">
        <f>J74-L74</f>
        <v/>
      </c>
      <c r="N74" s="20" t="inlineStr">
        <is>
          <t>WH-BLR-02</t>
        </is>
      </c>
      <c r="O74" s="20" t="inlineStr">
        <is>
          <t>Retail Store</t>
        </is>
      </c>
    </row>
    <row r="75" ht="19" customHeight="1">
      <c r="A75" s="21" t="inlineStr">
        <is>
          <t>ORD-2025254</t>
        </is>
      </c>
      <c r="B75" s="21" t="inlineStr">
        <is>
          <t>2025-09-02</t>
        </is>
      </c>
      <c r="C75" s="21" t="inlineStr">
        <is>
          <t>PD-004-XS</t>
        </is>
      </c>
      <c r="D75" s="21" t="inlineStr">
        <is>
          <t>PD-004</t>
        </is>
      </c>
      <c r="E75" s="12" t="inlineStr">
        <is>
          <t>Rosé Off-Shoulder Mini</t>
        </is>
      </c>
      <c r="F75" s="12" t="inlineStr">
        <is>
          <t>Dresses</t>
        </is>
      </c>
      <c r="G75" s="21" t="inlineStr">
        <is>
          <t>XS</t>
        </is>
      </c>
      <c r="H75" s="13" t="n">
        <v>5</v>
      </c>
      <c r="I75" s="14" t="n">
        <v>4900</v>
      </c>
      <c r="J75" s="14">
        <f>H75*I75</f>
        <v/>
      </c>
      <c r="K75" s="14" t="n">
        <v>1800</v>
      </c>
      <c r="L75" s="14">
        <f>H75*K75</f>
        <v/>
      </c>
      <c r="M75" s="14">
        <f>J75-L75</f>
        <v/>
      </c>
      <c r="N75" s="21" t="inlineStr">
        <is>
          <t>WH-HYD-01</t>
        </is>
      </c>
      <c r="O75" s="21" t="inlineStr">
        <is>
          <t>Retail Store</t>
        </is>
      </c>
    </row>
    <row r="76" ht="19" customHeight="1">
      <c r="A76" s="20" t="inlineStr">
        <is>
          <t>ORD-2025259</t>
        </is>
      </c>
      <c r="B76" s="20" t="inlineStr">
        <is>
          <t>2025-09-03</t>
        </is>
      </c>
      <c r="C76" s="20" t="inlineStr">
        <is>
          <t>PD-009-L</t>
        </is>
      </c>
      <c r="D76" s="20" t="inlineStr">
        <is>
          <t>PD-009</t>
        </is>
      </c>
      <c r="E76" s="9" t="inlineStr">
        <is>
          <t>Syrah Pleated Maxi Skirt</t>
        </is>
      </c>
      <c r="F76" s="9" t="inlineStr">
        <is>
          <t>Skirts</t>
        </is>
      </c>
      <c r="G76" s="20" t="inlineStr">
        <is>
          <t>L</t>
        </is>
      </c>
      <c r="H76" s="10" t="n">
        <v>3</v>
      </c>
      <c r="I76" s="11" t="n">
        <v>5400</v>
      </c>
      <c r="J76" s="11">
        <f>H76*I76</f>
        <v/>
      </c>
      <c r="K76" s="11" t="n">
        <v>1900</v>
      </c>
      <c r="L76" s="11">
        <f>H76*K76</f>
        <v/>
      </c>
      <c r="M76" s="11">
        <f>J76-L76</f>
        <v/>
      </c>
      <c r="N76" s="20" t="inlineStr">
        <is>
          <t>WH-DEL-03</t>
        </is>
      </c>
      <c r="O76" s="20" t="inlineStr">
        <is>
          <t>Mobile App</t>
        </is>
      </c>
    </row>
    <row r="77" ht="19" customHeight="1">
      <c r="A77" s="21" t="inlineStr">
        <is>
          <t>ORD-2025048</t>
        </is>
      </c>
      <c r="B77" s="21" t="inlineStr">
        <is>
          <t>2025-09-04</t>
        </is>
      </c>
      <c r="C77" s="21" t="inlineStr">
        <is>
          <t>PD-001-XL</t>
        </is>
      </c>
      <c r="D77" s="21" t="inlineStr">
        <is>
          <t>PD-001</t>
        </is>
      </c>
      <c r="E77" s="12" t="inlineStr">
        <is>
          <t>Cabernet Velvet Gown</t>
        </is>
      </c>
      <c r="F77" s="12" t="inlineStr">
        <is>
          <t>Dresses</t>
        </is>
      </c>
      <c r="G77" s="21" t="inlineStr">
        <is>
          <t>XL</t>
        </is>
      </c>
      <c r="H77" s="13" t="n">
        <v>5</v>
      </c>
      <c r="I77" s="14" t="n">
        <v>8500</v>
      </c>
      <c r="J77" s="14">
        <f>H77*I77</f>
        <v/>
      </c>
      <c r="K77" s="14" t="n">
        <v>3200</v>
      </c>
      <c r="L77" s="14">
        <f>H77*K77</f>
        <v/>
      </c>
      <c r="M77" s="14">
        <f>J77-L77</f>
        <v/>
      </c>
      <c r="N77" s="21" t="inlineStr">
        <is>
          <t>WH-HYD-01</t>
        </is>
      </c>
      <c r="O77" s="21" t="inlineStr">
        <is>
          <t>Mobile App</t>
        </is>
      </c>
    </row>
    <row r="78" ht="19" customHeight="1">
      <c r="A78" s="20" t="inlineStr">
        <is>
          <t>ORD-2025214</t>
        </is>
      </c>
      <c r="B78" s="20" t="inlineStr">
        <is>
          <t>2025-09-04</t>
        </is>
      </c>
      <c r="C78" s="20" t="inlineStr">
        <is>
          <t>PD-007-L</t>
        </is>
      </c>
      <c r="D78" s="20" t="inlineStr">
        <is>
          <t>PD-007</t>
        </is>
      </c>
      <c r="E78" s="9" t="inlineStr">
        <is>
          <t>Burgundy Trench Coat</t>
        </is>
      </c>
      <c r="F78" s="9" t="inlineStr">
        <is>
          <t>Outerwear</t>
        </is>
      </c>
      <c r="G78" s="20" t="inlineStr">
        <is>
          <t>L</t>
        </is>
      </c>
      <c r="H78" s="10" t="n">
        <v>4</v>
      </c>
      <c r="I78" s="11" t="n">
        <v>12500</v>
      </c>
      <c r="J78" s="11">
        <f>H78*I78</f>
        <v/>
      </c>
      <c r="K78" s="11" t="n">
        <v>4800</v>
      </c>
      <c r="L78" s="11">
        <f>H78*K78</f>
        <v/>
      </c>
      <c r="M78" s="11">
        <f>J78-L78</f>
        <v/>
      </c>
      <c r="N78" s="20" t="inlineStr">
        <is>
          <t>WH-HYD-01</t>
        </is>
      </c>
      <c r="O78" s="20" t="inlineStr">
        <is>
          <t>Mobile App</t>
        </is>
      </c>
    </row>
    <row r="79" ht="19" customHeight="1">
      <c r="A79" s="21" t="inlineStr">
        <is>
          <t>ORD-2025160</t>
        </is>
      </c>
      <c r="B79" s="21" t="inlineStr">
        <is>
          <t>2025-09-05</t>
        </is>
      </c>
      <c r="C79" s="21" t="inlineStr">
        <is>
          <t>PD-001-XS</t>
        </is>
      </c>
      <c r="D79" s="21" t="inlineStr">
        <is>
          <t>PD-001</t>
        </is>
      </c>
      <c r="E79" s="12" t="inlineStr">
        <is>
          <t>Cabernet Velvet Gown</t>
        </is>
      </c>
      <c r="F79" s="12" t="inlineStr">
        <is>
          <t>Dresses</t>
        </is>
      </c>
      <c r="G79" s="21" t="inlineStr">
        <is>
          <t>XS</t>
        </is>
      </c>
      <c r="H79" s="13" t="n">
        <v>5</v>
      </c>
      <c r="I79" s="14" t="n">
        <v>8500</v>
      </c>
      <c r="J79" s="14">
        <f>H79*I79</f>
        <v/>
      </c>
      <c r="K79" s="14" t="n">
        <v>3200</v>
      </c>
      <c r="L79" s="14">
        <f>H79*K79</f>
        <v/>
      </c>
      <c r="M79" s="14">
        <f>J79-L79</f>
        <v/>
      </c>
      <c r="N79" s="21" t="inlineStr">
        <is>
          <t>WH-BLR-02</t>
        </is>
      </c>
      <c r="O79" s="21" t="inlineStr">
        <is>
          <t>Retail Store</t>
        </is>
      </c>
    </row>
    <row r="80" ht="19" customHeight="1">
      <c r="A80" s="20" t="inlineStr">
        <is>
          <t>ORD-2025400</t>
        </is>
      </c>
      <c r="B80" s="20" t="inlineStr">
        <is>
          <t>2025-09-05</t>
        </is>
      </c>
      <c r="C80" s="20" t="inlineStr">
        <is>
          <t>PD-002-XS</t>
        </is>
      </c>
      <c r="D80" s="20" t="inlineStr">
        <is>
          <t>PD-002</t>
        </is>
      </c>
      <c r="E80" s="9" t="inlineStr">
        <is>
          <t>Merlot Satin Slip Dress</t>
        </is>
      </c>
      <c r="F80" s="9" t="inlineStr">
        <is>
          <t>Dresses</t>
        </is>
      </c>
      <c r="G80" s="20" t="inlineStr">
        <is>
          <t>XS</t>
        </is>
      </c>
      <c r="H80" s="10" t="n">
        <v>3</v>
      </c>
      <c r="I80" s="11" t="n">
        <v>6200</v>
      </c>
      <c r="J80" s="11">
        <f>H80*I80</f>
        <v/>
      </c>
      <c r="K80" s="11" t="n">
        <v>2100</v>
      </c>
      <c r="L80" s="11">
        <f>H80*K80</f>
        <v/>
      </c>
      <c r="M80" s="11">
        <f>J80-L80</f>
        <v/>
      </c>
      <c r="N80" s="20" t="inlineStr">
        <is>
          <t>WH-DEL-03</t>
        </is>
      </c>
      <c r="O80" s="20" t="inlineStr">
        <is>
          <t>Retail Store</t>
        </is>
      </c>
    </row>
    <row r="81" ht="19" customHeight="1">
      <c r="A81" s="21" t="inlineStr">
        <is>
          <t>ORD-2025053</t>
        </is>
      </c>
      <c r="B81" s="21" t="inlineStr">
        <is>
          <t>2025-09-06</t>
        </is>
      </c>
      <c r="C81" s="21" t="inlineStr">
        <is>
          <t>PD-002-L</t>
        </is>
      </c>
      <c r="D81" s="21" t="inlineStr">
        <is>
          <t>PD-002</t>
        </is>
      </c>
      <c r="E81" s="12" t="inlineStr">
        <is>
          <t>Merlot Satin Slip Dress</t>
        </is>
      </c>
      <c r="F81" s="12" t="inlineStr">
        <is>
          <t>Dresses</t>
        </is>
      </c>
      <c r="G81" s="21" t="inlineStr">
        <is>
          <t>L</t>
        </is>
      </c>
      <c r="H81" s="13" t="n">
        <v>3</v>
      </c>
      <c r="I81" s="14" t="n">
        <v>6200</v>
      </c>
      <c r="J81" s="14">
        <f>H81*I81</f>
        <v/>
      </c>
      <c r="K81" s="14" t="n">
        <v>2100</v>
      </c>
      <c r="L81" s="14">
        <f>H81*K81</f>
        <v/>
      </c>
      <c r="M81" s="14">
        <f>J81-L81</f>
        <v/>
      </c>
      <c r="N81" s="21" t="inlineStr">
        <is>
          <t>WH-HYD-01</t>
        </is>
      </c>
      <c r="O81" s="21" t="inlineStr">
        <is>
          <t>Online Store</t>
        </is>
      </c>
    </row>
    <row r="82" ht="19" customHeight="1">
      <c r="A82" s="20" t="inlineStr">
        <is>
          <t>ORD-2025233</t>
        </is>
      </c>
      <c r="B82" s="20" t="inlineStr">
        <is>
          <t>2025-09-07</t>
        </is>
      </c>
      <c r="C82" s="20" t="inlineStr">
        <is>
          <t>PD-004-XS</t>
        </is>
      </c>
      <c r="D82" s="20" t="inlineStr">
        <is>
          <t>PD-004</t>
        </is>
      </c>
      <c r="E82" s="9" t="inlineStr">
        <is>
          <t>Rosé Off-Shoulder Mini</t>
        </is>
      </c>
      <c r="F82" s="9" t="inlineStr">
        <is>
          <t>Dresses</t>
        </is>
      </c>
      <c r="G82" s="20" t="inlineStr">
        <is>
          <t>XS</t>
        </is>
      </c>
      <c r="H82" s="10" t="n">
        <v>4</v>
      </c>
      <c r="I82" s="11" t="n">
        <v>4900</v>
      </c>
      <c r="J82" s="11">
        <f>H82*I82</f>
        <v/>
      </c>
      <c r="K82" s="11" t="n">
        <v>1800</v>
      </c>
      <c r="L82" s="11">
        <f>H82*K82</f>
        <v/>
      </c>
      <c r="M82" s="11">
        <f>J82-L82</f>
        <v/>
      </c>
      <c r="N82" s="20" t="inlineStr">
        <is>
          <t>WH-DEL-03</t>
        </is>
      </c>
      <c r="O82" s="20" t="inlineStr">
        <is>
          <t>Retail Store</t>
        </is>
      </c>
    </row>
    <row r="83" ht="19" customHeight="1">
      <c r="A83" s="21" t="inlineStr">
        <is>
          <t>ORD-2025320</t>
        </is>
      </c>
      <c r="B83" s="21" t="inlineStr">
        <is>
          <t>2025-09-07</t>
        </is>
      </c>
      <c r="C83" s="21" t="inlineStr">
        <is>
          <t>PD-004-XS</t>
        </is>
      </c>
      <c r="D83" s="21" t="inlineStr">
        <is>
          <t>PD-004</t>
        </is>
      </c>
      <c r="E83" s="12" t="inlineStr">
        <is>
          <t>Rosé Off-Shoulder Mini</t>
        </is>
      </c>
      <c r="F83" s="12" t="inlineStr">
        <is>
          <t>Dresses</t>
        </is>
      </c>
      <c r="G83" s="21" t="inlineStr">
        <is>
          <t>XS</t>
        </is>
      </c>
      <c r="H83" s="13" t="n">
        <v>4</v>
      </c>
      <c r="I83" s="14" t="n">
        <v>4900</v>
      </c>
      <c r="J83" s="14">
        <f>H83*I83</f>
        <v/>
      </c>
      <c r="K83" s="14" t="n">
        <v>1800</v>
      </c>
      <c r="L83" s="14">
        <f>H83*K83</f>
        <v/>
      </c>
      <c r="M83" s="14">
        <f>J83-L83</f>
        <v/>
      </c>
      <c r="N83" s="21" t="inlineStr">
        <is>
          <t>WH-DEL-03</t>
        </is>
      </c>
      <c r="O83" s="21" t="inlineStr">
        <is>
          <t>Retail Store</t>
        </is>
      </c>
    </row>
    <row r="84" ht="19" customHeight="1">
      <c r="A84" s="20" t="inlineStr">
        <is>
          <t>ORD-2025446</t>
        </is>
      </c>
      <c r="B84" s="20" t="inlineStr">
        <is>
          <t>2025-09-07</t>
        </is>
      </c>
      <c r="C84" s="20" t="inlineStr">
        <is>
          <t>PD-005-XS</t>
        </is>
      </c>
      <c r="D84" s="20" t="inlineStr">
        <is>
          <t>PD-005</t>
        </is>
      </c>
      <c r="E84" s="9" t="inlineStr">
        <is>
          <t>Shiraz Wrap Evening Dress</t>
        </is>
      </c>
      <c r="F84" s="9" t="inlineStr">
        <is>
          <t>Dresses</t>
        </is>
      </c>
      <c r="G84" s="20" t="inlineStr">
        <is>
          <t>XS</t>
        </is>
      </c>
      <c r="H84" s="10" t="n">
        <v>2</v>
      </c>
      <c r="I84" s="11" t="n">
        <v>9200</v>
      </c>
      <c r="J84" s="11">
        <f>H84*I84</f>
        <v/>
      </c>
      <c r="K84" s="11" t="n">
        <v>3500</v>
      </c>
      <c r="L84" s="11">
        <f>H84*K84</f>
        <v/>
      </c>
      <c r="M84" s="11">
        <f>J84-L84</f>
        <v/>
      </c>
      <c r="N84" s="20" t="inlineStr">
        <is>
          <t>WH-BLR-02</t>
        </is>
      </c>
      <c r="O84" s="20" t="inlineStr">
        <is>
          <t>Online Store</t>
        </is>
      </c>
    </row>
    <row r="85" ht="19" customHeight="1">
      <c r="A85" s="21" t="inlineStr">
        <is>
          <t>ORD-2025129</t>
        </is>
      </c>
      <c r="B85" s="21" t="inlineStr">
        <is>
          <t>2025-09-08</t>
        </is>
      </c>
      <c r="C85" s="21" t="inlineStr">
        <is>
          <t>PD-008-M</t>
        </is>
      </c>
      <c r="D85" s="21" t="inlineStr">
        <is>
          <t>PD-008</t>
        </is>
      </c>
      <c r="E85" s="12" t="inlineStr">
        <is>
          <t>Tuscan Sun Silk Skirt</t>
        </is>
      </c>
      <c r="F85" s="12" t="inlineStr">
        <is>
          <t>Skirts</t>
        </is>
      </c>
      <c r="G85" s="21" t="inlineStr">
        <is>
          <t>M</t>
        </is>
      </c>
      <c r="H85" s="13" t="n">
        <v>1</v>
      </c>
      <c r="I85" s="14" t="n">
        <v>4500</v>
      </c>
      <c r="J85" s="14">
        <f>H85*I85</f>
        <v/>
      </c>
      <c r="K85" s="14" t="n">
        <v>1600</v>
      </c>
      <c r="L85" s="14">
        <f>H85*K85</f>
        <v/>
      </c>
      <c r="M85" s="14">
        <f>J85-L85</f>
        <v/>
      </c>
      <c r="N85" s="21" t="inlineStr">
        <is>
          <t>WH-BLR-02</t>
        </is>
      </c>
      <c r="O85" s="21" t="inlineStr">
        <is>
          <t>Mobile App</t>
        </is>
      </c>
    </row>
    <row r="86" ht="19" customHeight="1">
      <c r="A86" s="20" t="inlineStr">
        <is>
          <t>ORD-2025376</t>
        </is>
      </c>
      <c r="B86" s="20" t="inlineStr">
        <is>
          <t>2025-09-09</t>
        </is>
      </c>
      <c r="C86" s="20" t="inlineStr">
        <is>
          <t>PD-010-XL</t>
        </is>
      </c>
      <c r="D86" s="20" t="inlineStr">
        <is>
          <t>PD-010</t>
        </is>
      </c>
      <c r="E86" s="9" t="inlineStr">
        <is>
          <t>Noir Tailored Blazer</t>
        </is>
      </c>
      <c r="F86" s="9" t="inlineStr">
        <is>
          <t>Outerwear</t>
        </is>
      </c>
      <c r="G86" s="20" t="inlineStr">
        <is>
          <t>XL</t>
        </is>
      </c>
      <c r="H86" s="10" t="n">
        <v>3</v>
      </c>
      <c r="I86" s="11" t="n">
        <v>11000</v>
      </c>
      <c r="J86" s="11">
        <f>H86*I86</f>
        <v/>
      </c>
      <c r="K86" s="11" t="n">
        <v>4200</v>
      </c>
      <c r="L86" s="11">
        <f>H86*K86</f>
        <v/>
      </c>
      <c r="M86" s="11">
        <f>J86-L86</f>
        <v/>
      </c>
      <c r="N86" s="20" t="inlineStr">
        <is>
          <t>WH-HYD-01</t>
        </is>
      </c>
      <c r="O86" s="20" t="inlineStr">
        <is>
          <t>Retail Store</t>
        </is>
      </c>
    </row>
    <row r="87" ht="19" customHeight="1">
      <c r="A87" s="21" t="inlineStr">
        <is>
          <t>ORD-2025477</t>
        </is>
      </c>
      <c r="B87" s="21" t="inlineStr">
        <is>
          <t>2025-09-09</t>
        </is>
      </c>
      <c r="C87" s="21" t="inlineStr">
        <is>
          <t>PD-003-M</t>
        </is>
      </c>
      <c r="D87" s="21" t="inlineStr">
        <is>
          <t>PD-003</t>
        </is>
      </c>
      <c r="E87" s="12" t="inlineStr">
        <is>
          <t>Bordeaux Lace Midi</t>
        </is>
      </c>
      <c r="F87" s="12" t="inlineStr">
        <is>
          <t>Dresses</t>
        </is>
      </c>
      <c r="G87" s="21" t="inlineStr">
        <is>
          <t>M</t>
        </is>
      </c>
      <c r="H87" s="13" t="n">
        <v>1</v>
      </c>
      <c r="I87" s="14" t="n">
        <v>7800</v>
      </c>
      <c r="J87" s="14">
        <f>H87*I87</f>
        <v/>
      </c>
      <c r="K87" s="14" t="n">
        <v>2800</v>
      </c>
      <c r="L87" s="14">
        <f>H87*K87</f>
        <v/>
      </c>
      <c r="M87" s="14">
        <f>J87-L87</f>
        <v/>
      </c>
      <c r="N87" s="21" t="inlineStr">
        <is>
          <t>WH-BLR-02</t>
        </is>
      </c>
      <c r="O87" s="21" t="inlineStr">
        <is>
          <t>Retail Store</t>
        </is>
      </c>
    </row>
    <row r="88" ht="19" customHeight="1">
      <c r="A88" s="20" t="inlineStr">
        <is>
          <t>ORD-2025005</t>
        </is>
      </c>
      <c r="B88" s="20" t="inlineStr">
        <is>
          <t>2025-09-11</t>
        </is>
      </c>
      <c r="C88" s="20" t="inlineStr">
        <is>
          <t>PD-009-L</t>
        </is>
      </c>
      <c r="D88" s="20" t="inlineStr">
        <is>
          <t>PD-009</t>
        </is>
      </c>
      <c r="E88" s="9" t="inlineStr">
        <is>
          <t>Syrah Pleated Maxi Skirt</t>
        </is>
      </c>
      <c r="F88" s="9" t="inlineStr">
        <is>
          <t>Skirts</t>
        </is>
      </c>
      <c r="G88" s="20" t="inlineStr">
        <is>
          <t>L</t>
        </is>
      </c>
      <c r="H88" s="10" t="n">
        <v>5</v>
      </c>
      <c r="I88" s="11" t="n">
        <v>5400</v>
      </c>
      <c r="J88" s="11">
        <f>H88*I88</f>
        <v/>
      </c>
      <c r="K88" s="11" t="n">
        <v>1900</v>
      </c>
      <c r="L88" s="11">
        <f>H88*K88</f>
        <v/>
      </c>
      <c r="M88" s="11">
        <f>J88-L88</f>
        <v/>
      </c>
      <c r="N88" s="20" t="inlineStr">
        <is>
          <t>WH-BLR-02</t>
        </is>
      </c>
      <c r="O88" s="20" t="inlineStr">
        <is>
          <t>Mobile App</t>
        </is>
      </c>
    </row>
    <row r="89" ht="19" customHeight="1">
      <c r="A89" s="21" t="inlineStr">
        <is>
          <t>ORD-2025126</t>
        </is>
      </c>
      <c r="B89" s="21" t="inlineStr">
        <is>
          <t>2025-09-11</t>
        </is>
      </c>
      <c r="C89" s="21" t="inlineStr">
        <is>
          <t>PD-008-S</t>
        </is>
      </c>
      <c r="D89" s="21" t="inlineStr">
        <is>
          <t>PD-008</t>
        </is>
      </c>
      <c r="E89" s="12" t="inlineStr">
        <is>
          <t>Tuscan Sun Silk Skirt</t>
        </is>
      </c>
      <c r="F89" s="12" t="inlineStr">
        <is>
          <t>Skirts</t>
        </is>
      </c>
      <c r="G89" s="21" t="inlineStr">
        <is>
          <t>S</t>
        </is>
      </c>
      <c r="H89" s="13" t="n">
        <v>2</v>
      </c>
      <c r="I89" s="14" t="n">
        <v>4500</v>
      </c>
      <c r="J89" s="14">
        <f>H89*I89</f>
        <v/>
      </c>
      <c r="K89" s="14" t="n">
        <v>1600</v>
      </c>
      <c r="L89" s="14">
        <f>H89*K89</f>
        <v/>
      </c>
      <c r="M89" s="14">
        <f>J89-L89</f>
        <v/>
      </c>
      <c r="N89" s="21" t="inlineStr">
        <is>
          <t>WH-BLR-02</t>
        </is>
      </c>
      <c r="O89" s="21" t="inlineStr">
        <is>
          <t>Mobile App</t>
        </is>
      </c>
    </row>
    <row r="90" ht="19" customHeight="1">
      <c r="A90" s="20" t="inlineStr">
        <is>
          <t>ORD-2025281</t>
        </is>
      </c>
      <c r="B90" s="20" t="inlineStr">
        <is>
          <t>2025-09-11</t>
        </is>
      </c>
      <c r="C90" s="20" t="inlineStr">
        <is>
          <t>PD-009-S</t>
        </is>
      </c>
      <c r="D90" s="20" t="inlineStr">
        <is>
          <t>PD-009</t>
        </is>
      </c>
      <c r="E90" s="9" t="inlineStr">
        <is>
          <t>Syrah Pleated Maxi Skirt</t>
        </is>
      </c>
      <c r="F90" s="9" t="inlineStr">
        <is>
          <t>Skirts</t>
        </is>
      </c>
      <c r="G90" s="20" t="inlineStr">
        <is>
          <t>S</t>
        </is>
      </c>
      <c r="H90" s="10" t="n">
        <v>5</v>
      </c>
      <c r="I90" s="11" t="n">
        <v>5400</v>
      </c>
      <c r="J90" s="11">
        <f>H90*I90</f>
        <v/>
      </c>
      <c r="K90" s="11" t="n">
        <v>1900</v>
      </c>
      <c r="L90" s="11">
        <f>H90*K90</f>
        <v/>
      </c>
      <c r="M90" s="11">
        <f>J90-L90</f>
        <v/>
      </c>
      <c r="N90" s="20" t="inlineStr">
        <is>
          <t>WH-DEL-03</t>
        </is>
      </c>
      <c r="O90" s="20" t="inlineStr">
        <is>
          <t>Online Store</t>
        </is>
      </c>
    </row>
    <row r="91" ht="19" customHeight="1">
      <c r="A91" s="21" t="inlineStr">
        <is>
          <t>ORD-2025074</t>
        </is>
      </c>
      <c r="B91" s="21" t="inlineStr">
        <is>
          <t>2025-09-12</t>
        </is>
      </c>
      <c r="C91" s="21" t="inlineStr">
        <is>
          <t>PD-004-S</t>
        </is>
      </c>
      <c r="D91" s="21" t="inlineStr">
        <is>
          <t>PD-004</t>
        </is>
      </c>
      <c r="E91" s="12" t="inlineStr">
        <is>
          <t>Rosé Off-Shoulder Mini</t>
        </is>
      </c>
      <c r="F91" s="12" t="inlineStr">
        <is>
          <t>Dresses</t>
        </is>
      </c>
      <c r="G91" s="21" t="inlineStr">
        <is>
          <t>S</t>
        </is>
      </c>
      <c r="H91" s="13" t="n">
        <v>2</v>
      </c>
      <c r="I91" s="14" t="n">
        <v>4900</v>
      </c>
      <c r="J91" s="14">
        <f>H91*I91</f>
        <v/>
      </c>
      <c r="K91" s="14" t="n">
        <v>1800</v>
      </c>
      <c r="L91" s="14">
        <f>H91*K91</f>
        <v/>
      </c>
      <c r="M91" s="14">
        <f>J91-L91</f>
        <v/>
      </c>
      <c r="N91" s="21" t="inlineStr">
        <is>
          <t>WH-DEL-03</t>
        </is>
      </c>
      <c r="O91" s="21" t="inlineStr">
        <is>
          <t>Retail Store</t>
        </is>
      </c>
    </row>
    <row r="92" ht="19" customHeight="1">
      <c r="A92" s="20" t="inlineStr">
        <is>
          <t>ORD-2025461</t>
        </is>
      </c>
      <c r="B92" s="20" t="inlineStr">
        <is>
          <t>2025-09-13</t>
        </is>
      </c>
      <c r="C92" s="20" t="inlineStr">
        <is>
          <t>PD-002-L</t>
        </is>
      </c>
      <c r="D92" s="20" t="inlineStr">
        <is>
          <t>PD-002</t>
        </is>
      </c>
      <c r="E92" s="9" t="inlineStr">
        <is>
          <t>Merlot Satin Slip Dress</t>
        </is>
      </c>
      <c r="F92" s="9" t="inlineStr">
        <is>
          <t>Dresses</t>
        </is>
      </c>
      <c r="G92" s="20" t="inlineStr">
        <is>
          <t>L</t>
        </is>
      </c>
      <c r="H92" s="10" t="n">
        <v>1</v>
      </c>
      <c r="I92" s="11" t="n">
        <v>6200</v>
      </c>
      <c r="J92" s="11">
        <f>H92*I92</f>
        <v/>
      </c>
      <c r="K92" s="11" t="n">
        <v>2100</v>
      </c>
      <c r="L92" s="11">
        <f>H92*K92</f>
        <v/>
      </c>
      <c r="M92" s="11">
        <f>J92-L92</f>
        <v/>
      </c>
      <c r="N92" s="20" t="inlineStr">
        <is>
          <t>WH-BLR-02</t>
        </is>
      </c>
      <c r="O92" s="20" t="inlineStr">
        <is>
          <t>Retail Store</t>
        </is>
      </c>
    </row>
    <row r="93" ht="19" customHeight="1">
      <c r="A93" s="21" t="inlineStr">
        <is>
          <t>ORD-2025312</t>
        </is>
      </c>
      <c r="B93" s="21" t="inlineStr">
        <is>
          <t>2025-09-14</t>
        </is>
      </c>
      <c r="C93" s="21" t="inlineStr">
        <is>
          <t>PD-001-XS</t>
        </is>
      </c>
      <c r="D93" s="21" t="inlineStr">
        <is>
          <t>PD-001</t>
        </is>
      </c>
      <c r="E93" s="12" t="inlineStr">
        <is>
          <t>Cabernet Velvet Gown</t>
        </is>
      </c>
      <c r="F93" s="12" t="inlineStr">
        <is>
          <t>Dresses</t>
        </is>
      </c>
      <c r="G93" s="21" t="inlineStr">
        <is>
          <t>XS</t>
        </is>
      </c>
      <c r="H93" s="13" t="n">
        <v>4</v>
      </c>
      <c r="I93" s="14" t="n">
        <v>8500</v>
      </c>
      <c r="J93" s="14">
        <f>H93*I93</f>
        <v/>
      </c>
      <c r="K93" s="14" t="n">
        <v>3200</v>
      </c>
      <c r="L93" s="14">
        <f>H93*K93</f>
        <v/>
      </c>
      <c r="M93" s="14">
        <f>J93-L93</f>
        <v/>
      </c>
      <c r="N93" s="21" t="inlineStr">
        <is>
          <t>WH-DEL-03</t>
        </is>
      </c>
      <c r="O93" s="21" t="inlineStr">
        <is>
          <t>Retail Store</t>
        </is>
      </c>
    </row>
    <row r="94" ht="19" customHeight="1">
      <c r="A94" s="20" t="inlineStr">
        <is>
          <t>ORD-2025261</t>
        </is>
      </c>
      <c r="B94" s="20" t="inlineStr">
        <is>
          <t>2025-09-15</t>
        </is>
      </c>
      <c r="C94" s="20" t="inlineStr">
        <is>
          <t>PD-006-XL</t>
        </is>
      </c>
      <c r="D94" s="20" t="inlineStr">
        <is>
          <t>PD-006</t>
        </is>
      </c>
      <c r="E94" s="9" t="inlineStr">
        <is>
          <t>Chiffon Crimson Blouse</t>
        </is>
      </c>
      <c r="F94" s="9" t="inlineStr">
        <is>
          <t>Tops</t>
        </is>
      </c>
      <c r="G94" s="20" t="inlineStr">
        <is>
          <t>XL</t>
        </is>
      </c>
      <c r="H94" s="10" t="n">
        <v>1</v>
      </c>
      <c r="I94" s="11" t="n">
        <v>3200</v>
      </c>
      <c r="J94" s="11">
        <f>H94*I94</f>
        <v/>
      </c>
      <c r="K94" s="11" t="n">
        <v>1100</v>
      </c>
      <c r="L94" s="11">
        <f>H94*K94</f>
        <v/>
      </c>
      <c r="M94" s="11">
        <f>J94-L94</f>
        <v/>
      </c>
      <c r="N94" s="20" t="inlineStr">
        <is>
          <t>WH-DEL-03</t>
        </is>
      </c>
      <c r="O94" s="20" t="inlineStr">
        <is>
          <t>Online Store</t>
        </is>
      </c>
    </row>
    <row r="95" ht="19" customHeight="1">
      <c r="A95" s="21" t="inlineStr">
        <is>
          <t>ORD-2025377</t>
        </is>
      </c>
      <c r="B95" s="21" t="inlineStr">
        <is>
          <t>2025-09-15</t>
        </is>
      </c>
      <c r="C95" s="21" t="inlineStr">
        <is>
          <t>PD-001-L</t>
        </is>
      </c>
      <c r="D95" s="21" t="inlineStr">
        <is>
          <t>PD-001</t>
        </is>
      </c>
      <c r="E95" s="12" t="inlineStr">
        <is>
          <t>Cabernet Velvet Gown</t>
        </is>
      </c>
      <c r="F95" s="12" t="inlineStr">
        <is>
          <t>Dresses</t>
        </is>
      </c>
      <c r="G95" s="21" t="inlineStr">
        <is>
          <t>L</t>
        </is>
      </c>
      <c r="H95" s="13" t="n">
        <v>2</v>
      </c>
      <c r="I95" s="14" t="n">
        <v>8500</v>
      </c>
      <c r="J95" s="14">
        <f>H95*I95</f>
        <v/>
      </c>
      <c r="K95" s="14" t="n">
        <v>3200</v>
      </c>
      <c r="L95" s="14">
        <f>H95*K95</f>
        <v/>
      </c>
      <c r="M95" s="14">
        <f>J95-L95</f>
        <v/>
      </c>
      <c r="N95" s="21" t="inlineStr">
        <is>
          <t>WH-BLR-02</t>
        </is>
      </c>
      <c r="O95" s="21" t="inlineStr">
        <is>
          <t>Mobile App</t>
        </is>
      </c>
    </row>
    <row r="96" ht="19" customHeight="1">
      <c r="A96" s="20" t="inlineStr">
        <is>
          <t>ORD-2025366</t>
        </is>
      </c>
      <c r="B96" s="20" t="inlineStr">
        <is>
          <t>2025-09-16</t>
        </is>
      </c>
      <c r="C96" s="20" t="inlineStr">
        <is>
          <t>PD-004-L</t>
        </is>
      </c>
      <c r="D96" s="20" t="inlineStr">
        <is>
          <t>PD-004</t>
        </is>
      </c>
      <c r="E96" s="9" t="inlineStr">
        <is>
          <t>Rosé Off-Shoulder Mini</t>
        </is>
      </c>
      <c r="F96" s="9" t="inlineStr">
        <is>
          <t>Dresses</t>
        </is>
      </c>
      <c r="G96" s="20" t="inlineStr">
        <is>
          <t>L</t>
        </is>
      </c>
      <c r="H96" s="10" t="n">
        <v>1</v>
      </c>
      <c r="I96" s="11" t="n">
        <v>4900</v>
      </c>
      <c r="J96" s="11">
        <f>H96*I96</f>
        <v/>
      </c>
      <c r="K96" s="11" t="n">
        <v>1800</v>
      </c>
      <c r="L96" s="11">
        <f>H96*K96</f>
        <v/>
      </c>
      <c r="M96" s="11">
        <f>J96-L96</f>
        <v/>
      </c>
      <c r="N96" s="20" t="inlineStr">
        <is>
          <t>WH-HYD-01</t>
        </is>
      </c>
      <c r="O96" s="20" t="inlineStr">
        <is>
          <t>Retail Store</t>
        </is>
      </c>
    </row>
    <row r="97" ht="19" customHeight="1">
      <c r="A97" s="21" t="inlineStr">
        <is>
          <t>ORD-2025014</t>
        </is>
      </c>
      <c r="B97" s="21" t="inlineStr">
        <is>
          <t>2025-09-17</t>
        </is>
      </c>
      <c r="C97" s="21" t="inlineStr">
        <is>
          <t>PD-002-L</t>
        </is>
      </c>
      <c r="D97" s="21" t="inlineStr">
        <is>
          <t>PD-002</t>
        </is>
      </c>
      <c r="E97" s="12" t="inlineStr">
        <is>
          <t>Merlot Satin Slip Dress</t>
        </is>
      </c>
      <c r="F97" s="12" t="inlineStr">
        <is>
          <t>Dresses</t>
        </is>
      </c>
      <c r="G97" s="21" t="inlineStr">
        <is>
          <t>L</t>
        </is>
      </c>
      <c r="H97" s="13" t="n">
        <v>4</v>
      </c>
      <c r="I97" s="14" t="n">
        <v>6200</v>
      </c>
      <c r="J97" s="14">
        <f>H97*I97</f>
        <v/>
      </c>
      <c r="K97" s="14" t="n">
        <v>2100</v>
      </c>
      <c r="L97" s="14">
        <f>H97*K97</f>
        <v/>
      </c>
      <c r="M97" s="14">
        <f>J97-L97</f>
        <v/>
      </c>
      <c r="N97" s="21" t="inlineStr">
        <is>
          <t>WH-DEL-03</t>
        </is>
      </c>
      <c r="O97" s="21" t="inlineStr">
        <is>
          <t>Online Store</t>
        </is>
      </c>
    </row>
    <row r="98" ht="19" customHeight="1">
      <c r="A98" s="20" t="inlineStr">
        <is>
          <t>ORD-2025270</t>
        </is>
      </c>
      <c r="B98" s="20" t="inlineStr">
        <is>
          <t>2025-09-17</t>
        </is>
      </c>
      <c r="C98" s="20" t="inlineStr">
        <is>
          <t>PD-010-M</t>
        </is>
      </c>
      <c r="D98" s="20" t="inlineStr">
        <is>
          <t>PD-010</t>
        </is>
      </c>
      <c r="E98" s="9" t="inlineStr">
        <is>
          <t>Noir Tailored Blazer</t>
        </is>
      </c>
      <c r="F98" s="9" t="inlineStr">
        <is>
          <t>Outerwear</t>
        </is>
      </c>
      <c r="G98" s="20" t="inlineStr">
        <is>
          <t>M</t>
        </is>
      </c>
      <c r="H98" s="10" t="n">
        <v>4</v>
      </c>
      <c r="I98" s="11" t="n">
        <v>11000</v>
      </c>
      <c r="J98" s="11">
        <f>H98*I98</f>
        <v/>
      </c>
      <c r="K98" s="11" t="n">
        <v>4200</v>
      </c>
      <c r="L98" s="11">
        <f>H98*K98</f>
        <v/>
      </c>
      <c r="M98" s="11">
        <f>J98-L98</f>
        <v/>
      </c>
      <c r="N98" s="20" t="inlineStr">
        <is>
          <t>WH-DEL-03</t>
        </is>
      </c>
      <c r="O98" s="20" t="inlineStr">
        <is>
          <t>Online Store</t>
        </is>
      </c>
    </row>
    <row r="99" ht="19" customHeight="1">
      <c r="A99" s="21" t="inlineStr">
        <is>
          <t>ORD-2025268</t>
        </is>
      </c>
      <c r="B99" s="21" t="inlineStr">
        <is>
          <t>2025-09-20</t>
        </is>
      </c>
      <c r="C99" s="21" t="inlineStr">
        <is>
          <t>PD-001-XS</t>
        </is>
      </c>
      <c r="D99" s="21" t="inlineStr">
        <is>
          <t>PD-001</t>
        </is>
      </c>
      <c r="E99" s="12" t="inlineStr">
        <is>
          <t>Cabernet Velvet Gown</t>
        </is>
      </c>
      <c r="F99" s="12" t="inlineStr">
        <is>
          <t>Dresses</t>
        </is>
      </c>
      <c r="G99" s="21" t="inlineStr">
        <is>
          <t>XS</t>
        </is>
      </c>
      <c r="H99" s="13" t="n">
        <v>3</v>
      </c>
      <c r="I99" s="14" t="n">
        <v>8500</v>
      </c>
      <c r="J99" s="14">
        <f>H99*I99</f>
        <v/>
      </c>
      <c r="K99" s="14" t="n">
        <v>3200</v>
      </c>
      <c r="L99" s="14">
        <f>H99*K99</f>
        <v/>
      </c>
      <c r="M99" s="14">
        <f>J99-L99</f>
        <v/>
      </c>
      <c r="N99" s="21" t="inlineStr">
        <is>
          <t>WH-HYD-01</t>
        </is>
      </c>
      <c r="O99" s="21" t="inlineStr">
        <is>
          <t>Mobile App</t>
        </is>
      </c>
    </row>
    <row r="100" ht="19" customHeight="1">
      <c r="A100" s="20" t="inlineStr">
        <is>
          <t>ORD-2025204</t>
        </is>
      </c>
      <c r="B100" s="20" t="inlineStr">
        <is>
          <t>2025-09-22</t>
        </is>
      </c>
      <c r="C100" s="20" t="inlineStr">
        <is>
          <t>PD-001-XL</t>
        </is>
      </c>
      <c r="D100" s="20" t="inlineStr">
        <is>
          <t>PD-001</t>
        </is>
      </c>
      <c r="E100" s="9" t="inlineStr">
        <is>
          <t>Cabernet Velvet Gown</t>
        </is>
      </c>
      <c r="F100" s="9" t="inlineStr">
        <is>
          <t>Dresses</t>
        </is>
      </c>
      <c r="G100" s="20" t="inlineStr">
        <is>
          <t>XL</t>
        </is>
      </c>
      <c r="H100" s="10" t="n">
        <v>3</v>
      </c>
      <c r="I100" s="11" t="n">
        <v>8500</v>
      </c>
      <c r="J100" s="11">
        <f>H100*I100</f>
        <v/>
      </c>
      <c r="K100" s="11" t="n">
        <v>3200</v>
      </c>
      <c r="L100" s="11">
        <f>H100*K100</f>
        <v/>
      </c>
      <c r="M100" s="11">
        <f>J100-L100</f>
        <v/>
      </c>
      <c r="N100" s="20" t="inlineStr">
        <is>
          <t>WH-BLR-02</t>
        </is>
      </c>
      <c r="O100" s="20" t="inlineStr">
        <is>
          <t>Retail Store</t>
        </is>
      </c>
    </row>
    <row r="101" ht="19" customHeight="1">
      <c r="A101" s="21" t="inlineStr">
        <is>
          <t>ORD-2025311</t>
        </is>
      </c>
      <c r="B101" s="21" t="inlineStr">
        <is>
          <t>2025-09-23</t>
        </is>
      </c>
      <c r="C101" s="21" t="inlineStr">
        <is>
          <t>PD-010-L</t>
        </is>
      </c>
      <c r="D101" s="21" t="inlineStr">
        <is>
          <t>PD-010</t>
        </is>
      </c>
      <c r="E101" s="12" t="inlineStr">
        <is>
          <t>Noir Tailored Blazer</t>
        </is>
      </c>
      <c r="F101" s="12" t="inlineStr">
        <is>
          <t>Outerwear</t>
        </is>
      </c>
      <c r="G101" s="21" t="inlineStr">
        <is>
          <t>L</t>
        </is>
      </c>
      <c r="H101" s="13" t="n">
        <v>3</v>
      </c>
      <c r="I101" s="14" t="n">
        <v>11000</v>
      </c>
      <c r="J101" s="14">
        <f>H101*I101</f>
        <v/>
      </c>
      <c r="K101" s="14" t="n">
        <v>4200</v>
      </c>
      <c r="L101" s="14">
        <f>H101*K101</f>
        <v/>
      </c>
      <c r="M101" s="14">
        <f>J101-L101</f>
        <v/>
      </c>
      <c r="N101" s="21" t="inlineStr">
        <is>
          <t>WH-BLR-02</t>
        </is>
      </c>
      <c r="O101" s="21" t="inlineStr">
        <is>
          <t>Retail Store</t>
        </is>
      </c>
    </row>
    <row r="102" ht="19" customHeight="1">
      <c r="A102" s="20" t="inlineStr">
        <is>
          <t>ORD-2025364</t>
        </is>
      </c>
      <c r="B102" s="20" t="inlineStr">
        <is>
          <t>2025-09-23</t>
        </is>
      </c>
      <c r="C102" s="20" t="inlineStr">
        <is>
          <t>PD-004-S</t>
        </is>
      </c>
      <c r="D102" s="20" t="inlineStr">
        <is>
          <t>PD-004</t>
        </is>
      </c>
      <c r="E102" s="9" t="inlineStr">
        <is>
          <t>Rosé Off-Shoulder Mini</t>
        </is>
      </c>
      <c r="F102" s="9" t="inlineStr">
        <is>
          <t>Dresses</t>
        </is>
      </c>
      <c r="G102" s="20" t="inlineStr">
        <is>
          <t>S</t>
        </is>
      </c>
      <c r="H102" s="10" t="n">
        <v>1</v>
      </c>
      <c r="I102" s="11" t="n">
        <v>4900</v>
      </c>
      <c r="J102" s="11">
        <f>H102*I102</f>
        <v/>
      </c>
      <c r="K102" s="11" t="n">
        <v>1800</v>
      </c>
      <c r="L102" s="11">
        <f>H102*K102</f>
        <v/>
      </c>
      <c r="M102" s="11">
        <f>J102-L102</f>
        <v/>
      </c>
      <c r="N102" s="20" t="inlineStr">
        <is>
          <t>WH-DEL-03</t>
        </is>
      </c>
      <c r="O102" s="20" t="inlineStr">
        <is>
          <t>Retail Store</t>
        </is>
      </c>
    </row>
    <row r="103" ht="19" customHeight="1">
      <c r="A103" s="21" t="inlineStr">
        <is>
          <t>ORD-2025493</t>
        </is>
      </c>
      <c r="B103" s="21" t="inlineStr">
        <is>
          <t>2025-09-23</t>
        </is>
      </c>
      <c r="C103" s="21" t="inlineStr">
        <is>
          <t>PD-002-S</t>
        </is>
      </c>
      <c r="D103" s="21" t="inlineStr">
        <is>
          <t>PD-002</t>
        </is>
      </c>
      <c r="E103" s="12" t="inlineStr">
        <is>
          <t>Merlot Satin Slip Dress</t>
        </is>
      </c>
      <c r="F103" s="12" t="inlineStr">
        <is>
          <t>Dresses</t>
        </is>
      </c>
      <c r="G103" s="21" t="inlineStr">
        <is>
          <t>S</t>
        </is>
      </c>
      <c r="H103" s="13" t="n">
        <v>5</v>
      </c>
      <c r="I103" s="14" t="n">
        <v>6200</v>
      </c>
      <c r="J103" s="14">
        <f>H103*I103</f>
        <v/>
      </c>
      <c r="K103" s="14" t="n">
        <v>2100</v>
      </c>
      <c r="L103" s="14">
        <f>H103*K103</f>
        <v/>
      </c>
      <c r="M103" s="14">
        <f>J103-L103</f>
        <v/>
      </c>
      <c r="N103" s="21" t="inlineStr">
        <is>
          <t>WH-DEL-03</t>
        </is>
      </c>
      <c r="O103" s="21" t="inlineStr">
        <is>
          <t>Mobile App</t>
        </is>
      </c>
    </row>
    <row r="104" ht="19" customHeight="1">
      <c r="A104" s="20" t="inlineStr">
        <is>
          <t>ORD-2025497</t>
        </is>
      </c>
      <c r="B104" s="20" t="inlineStr">
        <is>
          <t>2025-09-23</t>
        </is>
      </c>
      <c r="C104" s="20" t="inlineStr">
        <is>
          <t>PD-001-XS</t>
        </is>
      </c>
      <c r="D104" s="20" t="inlineStr">
        <is>
          <t>PD-001</t>
        </is>
      </c>
      <c r="E104" s="9" t="inlineStr">
        <is>
          <t>Cabernet Velvet Gown</t>
        </is>
      </c>
      <c r="F104" s="9" t="inlineStr">
        <is>
          <t>Dresses</t>
        </is>
      </c>
      <c r="G104" s="20" t="inlineStr">
        <is>
          <t>XS</t>
        </is>
      </c>
      <c r="H104" s="10" t="n">
        <v>5</v>
      </c>
      <c r="I104" s="11" t="n">
        <v>8500</v>
      </c>
      <c r="J104" s="11">
        <f>H104*I104</f>
        <v/>
      </c>
      <c r="K104" s="11" t="n">
        <v>3200</v>
      </c>
      <c r="L104" s="11">
        <f>H104*K104</f>
        <v/>
      </c>
      <c r="M104" s="11">
        <f>J104-L104</f>
        <v/>
      </c>
      <c r="N104" s="20" t="inlineStr">
        <is>
          <t>WH-HYD-01</t>
        </is>
      </c>
      <c r="O104" s="20" t="inlineStr">
        <is>
          <t>Retail Store</t>
        </is>
      </c>
    </row>
    <row r="105" ht="19" customHeight="1">
      <c r="A105" s="21" t="inlineStr">
        <is>
          <t>ORD-2025215</t>
        </is>
      </c>
      <c r="B105" s="21" t="inlineStr">
        <is>
          <t>2025-09-26</t>
        </is>
      </c>
      <c r="C105" s="21" t="inlineStr">
        <is>
          <t>PD-006-S</t>
        </is>
      </c>
      <c r="D105" s="21" t="inlineStr">
        <is>
          <t>PD-006</t>
        </is>
      </c>
      <c r="E105" s="12" t="inlineStr">
        <is>
          <t>Chiffon Crimson Blouse</t>
        </is>
      </c>
      <c r="F105" s="12" t="inlineStr">
        <is>
          <t>Tops</t>
        </is>
      </c>
      <c r="G105" s="21" t="inlineStr">
        <is>
          <t>S</t>
        </is>
      </c>
      <c r="H105" s="13" t="n">
        <v>2</v>
      </c>
      <c r="I105" s="14" t="n">
        <v>3200</v>
      </c>
      <c r="J105" s="14">
        <f>H105*I105</f>
        <v/>
      </c>
      <c r="K105" s="14" t="n">
        <v>1100</v>
      </c>
      <c r="L105" s="14">
        <f>H105*K105</f>
        <v/>
      </c>
      <c r="M105" s="14">
        <f>J105-L105</f>
        <v/>
      </c>
      <c r="N105" s="21" t="inlineStr">
        <is>
          <t>WH-HYD-01</t>
        </is>
      </c>
      <c r="O105" s="21" t="inlineStr">
        <is>
          <t>Retail Store</t>
        </is>
      </c>
    </row>
    <row r="106" ht="19" customHeight="1">
      <c r="A106" s="20" t="inlineStr">
        <is>
          <t>ORD-2025444</t>
        </is>
      </c>
      <c r="B106" s="20" t="inlineStr">
        <is>
          <t>2025-09-26</t>
        </is>
      </c>
      <c r="C106" s="20" t="inlineStr">
        <is>
          <t>PD-005-XS</t>
        </is>
      </c>
      <c r="D106" s="20" t="inlineStr">
        <is>
          <t>PD-005</t>
        </is>
      </c>
      <c r="E106" s="9" t="inlineStr">
        <is>
          <t>Shiraz Wrap Evening Dress</t>
        </is>
      </c>
      <c r="F106" s="9" t="inlineStr">
        <is>
          <t>Dresses</t>
        </is>
      </c>
      <c r="G106" s="20" t="inlineStr">
        <is>
          <t>XS</t>
        </is>
      </c>
      <c r="H106" s="10" t="n">
        <v>3</v>
      </c>
      <c r="I106" s="11" t="n">
        <v>9200</v>
      </c>
      <c r="J106" s="11">
        <f>H106*I106</f>
        <v/>
      </c>
      <c r="K106" s="11" t="n">
        <v>3500</v>
      </c>
      <c r="L106" s="11">
        <f>H106*K106</f>
        <v/>
      </c>
      <c r="M106" s="11">
        <f>J106-L106</f>
        <v/>
      </c>
      <c r="N106" s="20" t="inlineStr">
        <is>
          <t>WH-DEL-03</t>
        </is>
      </c>
      <c r="O106" s="20" t="inlineStr">
        <is>
          <t>Retail Store</t>
        </is>
      </c>
    </row>
    <row r="107" ht="19" customHeight="1">
      <c r="A107" s="21" t="inlineStr">
        <is>
          <t>ORD-2025224</t>
        </is>
      </c>
      <c r="B107" s="21" t="inlineStr">
        <is>
          <t>2025-09-27</t>
        </is>
      </c>
      <c r="C107" s="21" t="inlineStr">
        <is>
          <t>PD-004-XS</t>
        </is>
      </c>
      <c r="D107" s="21" t="inlineStr">
        <is>
          <t>PD-004</t>
        </is>
      </c>
      <c r="E107" s="12" t="inlineStr">
        <is>
          <t>Rosé Off-Shoulder Mini</t>
        </is>
      </c>
      <c r="F107" s="12" t="inlineStr">
        <is>
          <t>Dresses</t>
        </is>
      </c>
      <c r="G107" s="21" t="inlineStr">
        <is>
          <t>XS</t>
        </is>
      </c>
      <c r="H107" s="13" t="n">
        <v>5</v>
      </c>
      <c r="I107" s="14" t="n">
        <v>4900</v>
      </c>
      <c r="J107" s="14">
        <f>H107*I107</f>
        <v/>
      </c>
      <c r="K107" s="14" t="n">
        <v>1800</v>
      </c>
      <c r="L107" s="14">
        <f>H107*K107</f>
        <v/>
      </c>
      <c r="M107" s="14">
        <f>J107-L107</f>
        <v/>
      </c>
      <c r="N107" s="21" t="inlineStr">
        <is>
          <t>WH-BLR-02</t>
        </is>
      </c>
      <c r="O107" s="21" t="inlineStr">
        <is>
          <t>Mobile App</t>
        </is>
      </c>
    </row>
    <row r="108" ht="19" customHeight="1">
      <c r="A108" s="20" t="inlineStr">
        <is>
          <t>ORD-2025092</t>
        </is>
      </c>
      <c r="B108" s="20" t="inlineStr">
        <is>
          <t>2025-09-28</t>
        </is>
      </c>
      <c r="C108" s="20" t="inlineStr">
        <is>
          <t>PD-001-S</t>
        </is>
      </c>
      <c r="D108" s="20" t="inlineStr">
        <is>
          <t>PD-001</t>
        </is>
      </c>
      <c r="E108" s="9" t="inlineStr">
        <is>
          <t>Cabernet Velvet Gown</t>
        </is>
      </c>
      <c r="F108" s="9" t="inlineStr">
        <is>
          <t>Dresses</t>
        </is>
      </c>
      <c r="G108" s="20" t="inlineStr">
        <is>
          <t>S</t>
        </is>
      </c>
      <c r="H108" s="10" t="n">
        <v>1</v>
      </c>
      <c r="I108" s="11" t="n">
        <v>8500</v>
      </c>
      <c r="J108" s="11">
        <f>H108*I108</f>
        <v/>
      </c>
      <c r="K108" s="11" t="n">
        <v>3200</v>
      </c>
      <c r="L108" s="11">
        <f>H108*K108</f>
        <v/>
      </c>
      <c r="M108" s="11">
        <f>J108-L108</f>
        <v/>
      </c>
      <c r="N108" s="20" t="inlineStr">
        <is>
          <t>WH-HYD-01</t>
        </is>
      </c>
      <c r="O108" s="20" t="inlineStr">
        <is>
          <t>Retail Store</t>
        </is>
      </c>
    </row>
    <row r="109" ht="19" customHeight="1">
      <c r="A109" s="21" t="inlineStr">
        <is>
          <t>ORD-2025277</t>
        </is>
      </c>
      <c r="B109" s="21" t="inlineStr">
        <is>
          <t>2025-09-28</t>
        </is>
      </c>
      <c r="C109" s="21" t="inlineStr">
        <is>
          <t>PD-001-XL</t>
        </is>
      </c>
      <c r="D109" s="21" t="inlineStr">
        <is>
          <t>PD-001</t>
        </is>
      </c>
      <c r="E109" s="12" t="inlineStr">
        <is>
          <t>Cabernet Velvet Gown</t>
        </is>
      </c>
      <c r="F109" s="12" t="inlineStr">
        <is>
          <t>Dresses</t>
        </is>
      </c>
      <c r="G109" s="21" t="inlineStr">
        <is>
          <t>XL</t>
        </is>
      </c>
      <c r="H109" s="13" t="n">
        <v>2</v>
      </c>
      <c r="I109" s="14" t="n">
        <v>8500</v>
      </c>
      <c r="J109" s="14">
        <f>H109*I109</f>
        <v/>
      </c>
      <c r="K109" s="14" t="n">
        <v>3200</v>
      </c>
      <c r="L109" s="14">
        <f>H109*K109</f>
        <v/>
      </c>
      <c r="M109" s="14">
        <f>J109-L109</f>
        <v/>
      </c>
      <c r="N109" s="21" t="inlineStr">
        <is>
          <t>WH-BLR-02</t>
        </is>
      </c>
      <c r="O109" s="21" t="inlineStr">
        <is>
          <t>Mobile App</t>
        </is>
      </c>
    </row>
    <row r="110" ht="19" customHeight="1">
      <c r="A110" s="20" t="inlineStr">
        <is>
          <t>ORD-2025177</t>
        </is>
      </c>
      <c r="B110" s="20" t="inlineStr">
        <is>
          <t>2025-09-29</t>
        </is>
      </c>
      <c r="C110" s="20" t="inlineStr">
        <is>
          <t>PD-004-M</t>
        </is>
      </c>
      <c r="D110" s="20" t="inlineStr">
        <is>
          <t>PD-004</t>
        </is>
      </c>
      <c r="E110" s="9" t="inlineStr">
        <is>
          <t>Rosé Off-Shoulder Mini</t>
        </is>
      </c>
      <c r="F110" s="9" t="inlineStr">
        <is>
          <t>Dresses</t>
        </is>
      </c>
      <c r="G110" s="20" t="inlineStr">
        <is>
          <t>M</t>
        </is>
      </c>
      <c r="H110" s="10" t="n">
        <v>2</v>
      </c>
      <c r="I110" s="11" t="n">
        <v>4900</v>
      </c>
      <c r="J110" s="11">
        <f>H110*I110</f>
        <v/>
      </c>
      <c r="K110" s="11" t="n">
        <v>1800</v>
      </c>
      <c r="L110" s="11">
        <f>H110*K110</f>
        <v/>
      </c>
      <c r="M110" s="11">
        <f>J110-L110</f>
        <v/>
      </c>
      <c r="N110" s="20" t="inlineStr">
        <is>
          <t>WH-HYD-01</t>
        </is>
      </c>
      <c r="O110" s="20" t="inlineStr">
        <is>
          <t>Online Store</t>
        </is>
      </c>
    </row>
    <row r="111" ht="19" customHeight="1">
      <c r="A111" s="21" t="inlineStr">
        <is>
          <t>ORD-2025207</t>
        </is>
      </c>
      <c r="B111" s="21" t="inlineStr">
        <is>
          <t>2025-09-29</t>
        </is>
      </c>
      <c r="C111" s="21" t="inlineStr">
        <is>
          <t>PD-006-L</t>
        </is>
      </c>
      <c r="D111" s="21" t="inlineStr">
        <is>
          <t>PD-006</t>
        </is>
      </c>
      <c r="E111" s="12" t="inlineStr">
        <is>
          <t>Chiffon Crimson Blouse</t>
        </is>
      </c>
      <c r="F111" s="12" t="inlineStr">
        <is>
          <t>Tops</t>
        </is>
      </c>
      <c r="G111" s="21" t="inlineStr">
        <is>
          <t>L</t>
        </is>
      </c>
      <c r="H111" s="13" t="n">
        <v>5</v>
      </c>
      <c r="I111" s="14" t="n">
        <v>3200</v>
      </c>
      <c r="J111" s="14">
        <f>H111*I111</f>
        <v/>
      </c>
      <c r="K111" s="14" t="n">
        <v>1100</v>
      </c>
      <c r="L111" s="14">
        <f>H111*K111</f>
        <v/>
      </c>
      <c r="M111" s="14">
        <f>J111-L111</f>
        <v/>
      </c>
      <c r="N111" s="21" t="inlineStr">
        <is>
          <t>WH-BLR-02</t>
        </is>
      </c>
      <c r="O111" s="21" t="inlineStr">
        <is>
          <t>Retail Store</t>
        </is>
      </c>
    </row>
    <row r="112" ht="19" customHeight="1">
      <c r="A112" s="20" t="inlineStr">
        <is>
          <t>ORD-2025125</t>
        </is>
      </c>
      <c r="B112" s="20" t="inlineStr">
        <is>
          <t>2025-10-01</t>
        </is>
      </c>
      <c r="C112" s="20" t="inlineStr">
        <is>
          <t>PD-004-XS</t>
        </is>
      </c>
      <c r="D112" s="20" t="inlineStr">
        <is>
          <t>PD-004</t>
        </is>
      </c>
      <c r="E112" s="9" t="inlineStr">
        <is>
          <t>Rosé Off-Shoulder Mini</t>
        </is>
      </c>
      <c r="F112" s="9" t="inlineStr">
        <is>
          <t>Dresses</t>
        </is>
      </c>
      <c r="G112" s="20" t="inlineStr">
        <is>
          <t>XS</t>
        </is>
      </c>
      <c r="H112" s="10" t="n">
        <v>2</v>
      </c>
      <c r="I112" s="11" t="n">
        <v>4900</v>
      </c>
      <c r="J112" s="11">
        <f>H112*I112</f>
        <v/>
      </c>
      <c r="K112" s="11" t="n">
        <v>1800</v>
      </c>
      <c r="L112" s="11">
        <f>H112*K112</f>
        <v/>
      </c>
      <c r="M112" s="11">
        <f>J112-L112</f>
        <v/>
      </c>
      <c r="N112" s="20" t="inlineStr">
        <is>
          <t>WH-BLR-02</t>
        </is>
      </c>
      <c r="O112" s="20" t="inlineStr">
        <is>
          <t>Mobile App</t>
        </is>
      </c>
    </row>
    <row r="113" ht="19" customHeight="1">
      <c r="A113" s="21" t="inlineStr">
        <is>
          <t>ORD-2025430</t>
        </is>
      </c>
      <c r="B113" s="21" t="inlineStr">
        <is>
          <t>2025-10-01</t>
        </is>
      </c>
      <c r="C113" s="21" t="inlineStr">
        <is>
          <t>PD-004-XL</t>
        </is>
      </c>
      <c r="D113" s="21" t="inlineStr">
        <is>
          <t>PD-004</t>
        </is>
      </c>
      <c r="E113" s="12" t="inlineStr">
        <is>
          <t>Rosé Off-Shoulder Mini</t>
        </is>
      </c>
      <c r="F113" s="12" t="inlineStr">
        <is>
          <t>Dresses</t>
        </is>
      </c>
      <c r="G113" s="21" t="inlineStr">
        <is>
          <t>XL</t>
        </is>
      </c>
      <c r="H113" s="13" t="n">
        <v>2</v>
      </c>
      <c r="I113" s="14" t="n">
        <v>4900</v>
      </c>
      <c r="J113" s="14">
        <f>H113*I113</f>
        <v/>
      </c>
      <c r="K113" s="14" t="n">
        <v>1800</v>
      </c>
      <c r="L113" s="14">
        <f>H113*K113</f>
        <v/>
      </c>
      <c r="M113" s="14">
        <f>J113-L113</f>
        <v/>
      </c>
      <c r="N113" s="21" t="inlineStr">
        <is>
          <t>WH-HYD-01</t>
        </is>
      </c>
      <c r="O113" s="21" t="inlineStr">
        <is>
          <t>Retail Store</t>
        </is>
      </c>
    </row>
    <row r="114" ht="19" customHeight="1">
      <c r="A114" s="20" t="inlineStr">
        <is>
          <t>ORD-2025435</t>
        </is>
      </c>
      <c r="B114" s="20" t="inlineStr">
        <is>
          <t>2025-10-01</t>
        </is>
      </c>
      <c r="C114" s="20" t="inlineStr">
        <is>
          <t>PD-003-XS</t>
        </is>
      </c>
      <c r="D114" s="20" t="inlineStr">
        <is>
          <t>PD-003</t>
        </is>
      </c>
      <c r="E114" s="9" t="inlineStr">
        <is>
          <t>Bordeaux Lace Midi</t>
        </is>
      </c>
      <c r="F114" s="9" t="inlineStr">
        <is>
          <t>Dresses</t>
        </is>
      </c>
      <c r="G114" s="20" t="inlineStr">
        <is>
          <t>XS</t>
        </is>
      </c>
      <c r="H114" s="10" t="n">
        <v>5</v>
      </c>
      <c r="I114" s="11" t="n">
        <v>7800</v>
      </c>
      <c r="J114" s="11">
        <f>H114*I114</f>
        <v/>
      </c>
      <c r="K114" s="11" t="n">
        <v>2800</v>
      </c>
      <c r="L114" s="11">
        <f>H114*K114</f>
        <v/>
      </c>
      <c r="M114" s="11">
        <f>J114-L114</f>
        <v/>
      </c>
      <c r="N114" s="20" t="inlineStr">
        <is>
          <t>WH-DEL-03</t>
        </is>
      </c>
      <c r="O114" s="20" t="inlineStr">
        <is>
          <t>Mobile App</t>
        </is>
      </c>
    </row>
    <row r="115" ht="19" customHeight="1">
      <c r="A115" s="21" t="inlineStr">
        <is>
          <t>ORD-2025066</t>
        </is>
      </c>
      <c r="B115" s="21" t="inlineStr">
        <is>
          <t>2025-10-02</t>
        </is>
      </c>
      <c r="C115" s="21" t="inlineStr">
        <is>
          <t>PD-004-XS</t>
        </is>
      </c>
      <c r="D115" s="21" t="inlineStr">
        <is>
          <t>PD-004</t>
        </is>
      </c>
      <c r="E115" s="12" t="inlineStr">
        <is>
          <t>Rosé Off-Shoulder Mini</t>
        </is>
      </c>
      <c r="F115" s="12" t="inlineStr">
        <is>
          <t>Dresses</t>
        </is>
      </c>
      <c r="G115" s="21" t="inlineStr">
        <is>
          <t>XS</t>
        </is>
      </c>
      <c r="H115" s="13" t="n">
        <v>2</v>
      </c>
      <c r="I115" s="14" t="n">
        <v>4900</v>
      </c>
      <c r="J115" s="14">
        <f>H115*I115</f>
        <v/>
      </c>
      <c r="K115" s="14" t="n">
        <v>1800</v>
      </c>
      <c r="L115" s="14">
        <f>H115*K115</f>
        <v/>
      </c>
      <c r="M115" s="14">
        <f>J115-L115</f>
        <v/>
      </c>
      <c r="N115" s="21" t="inlineStr">
        <is>
          <t>WH-HYD-01</t>
        </is>
      </c>
      <c r="O115" s="21" t="inlineStr">
        <is>
          <t>Retail Store</t>
        </is>
      </c>
    </row>
    <row r="116" ht="19" customHeight="1">
      <c r="A116" s="20" t="inlineStr">
        <is>
          <t>ORD-2025256</t>
        </is>
      </c>
      <c r="B116" s="20" t="inlineStr">
        <is>
          <t>2025-10-02</t>
        </is>
      </c>
      <c r="C116" s="20" t="inlineStr">
        <is>
          <t>PD-006-S</t>
        </is>
      </c>
      <c r="D116" s="20" t="inlineStr">
        <is>
          <t>PD-006</t>
        </is>
      </c>
      <c r="E116" s="9" t="inlineStr">
        <is>
          <t>Chiffon Crimson Blouse</t>
        </is>
      </c>
      <c r="F116" s="9" t="inlineStr">
        <is>
          <t>Tops</t>
        </is>
      </c>
      <c r="G116" s="20" t="inlineStr">
        <is>
          <t>S</t>
        </is>
      </c>
      <c r="H116" s="10" t="n">
        <v>1</v>
      </c>
      <c r="I116" s="11" t="n">
        <v>3200</v>
      </c>
      <c r="J116" s="11">
        <f>H116*I116</f>
        <v/>
      </c>
      <c r="K116" s="11" t="n">
        <v>1100</v>
      </c>
      <c r="L116" s="11">
        <f>H116*K116</f>
        <v/>
      </c>
      <c r="M116" s="11">
        <f>J116-L116</f>
        <v/>
      </c>
      <c r="N116" s="20" t="inlineStr">
        <is>
          <t>WH-BLR-02</t>
        </is>
      </c>
      <c r="O116" s="20" t="inlineStr">
        <is>
          <t>Mobile App</t>
        </is>
      </c>
    </row>
    <row r="117" ht="19" customHeight="1">
      <c r="A117" s="21" t="inlineStr">
        <is>
          <t>ORD-2025230</t>
        </is>
      </c>
      <c r="B117" s="21" t="inlineStr">
        <is>
          <t>2025-10-03</t>
        </is>
      </c>
      <c r="C117" s="21" t="inlineStr">
        <is>
          <t>PD-001-XL</t>
        </is>
      </c>
      <c r="D117" s="21" t="inlineStr">
        <is>
          <t>PD-001</t>
        </is>
      </c>
      <c r="E117" s="12" t="inlineStr">
        <is>
          <t>Cabernet Velvet Gown</t>
        </is>
      </c>
      <c r="F117" s="12" t="inlineStr">
        <is>
          <t>Dresses</t>
        </is>
      </c>
      <c r="G117" s="21" t="inlineStr">
        <is>
          <t>XL</t>
        </is>
      </c>
      <c r="H117" s="13" t="n">
        <v>4</v>
      </c>
      <c r="I117" s="14" t="n">
        <v>8500</v>
      </c>
      <c r="J117" s="14">
        <f>H117*I117</f>
        <v/>
      </c>
      <c r="K117" s="14" t="n">
        <v>3200</v>
      </c>
      <c r="L117" s="14">
        <f>H117*K117</f>
        <v/>
      </c>
      <c r="M117" s="14">
        <f>J117-L117</f>
        <v/>
      </c>
      <c r="N117" s="21" t="inlineStr">
        <is>
          <t>WH-BLR-02</t>
        </is>
      </c>
      <c r="O117" s="21" t="inlineStr">
        <is>
          <t>Mobile App</t>
        </is>
      </c>
    </row>
    <row r="118" ht="19" customHeight="1">
      <c r="A118" s="20" t="inlineStr">
        <is>
          <t>ORD-2025059</t>
        </is>
      </c>
      <c r="B118" s="20" t="inlineStr">
        <is>
          <t>2025-10-05</t>
        </is>
      </c>
      <c r="C118" s="20" t="inlineStr">
        <is>
          <t>PD-010-M</t>
        </is>
      </c>
      <c r="D118" s="20" t="inlineStr">
        <is>
          <t>PD-010</t>
        </is>
      </c>
      <c r="E118" s="9" t="inlineStr">
        <is>
          <t>Noir Tailored Blazer</t>
        </is>
      </c>
      <c r="F118" s="9" t="inlineStr">
        <is>
          <t>Outerwear</t>
        </is>
      </c>
      <c r="G118" s="20" t="inlineStr">
        <is>
          <t>M</t>
        </is>
      </c>
      <c r="H118" s="10" t="n">
        <v>4</v>
      </c>
      <c r="I118" s="11" t="n">
        <v>11000</v>
      </c>
      <c r="J118" s="11">
        <f>H118*I118</f>
        <v/>
      </c>
      <c r="K118" s="11" t="n">
        <v>4200</v>
      </c>
      <c r="L118" s="11">
        <f>H118*K118</f>
        <v/>
      </c>
      <c r="M118" s="11">
        <f>J118-L118</f>
        <v/>
      </c>
      <c r="N118" s="20" t="inlineStr">
        <is>
          <t>WH-DEL-03</t>
        </is>
      </c>
      <c r="O118" s="20" t="inlineStr">
        <is>
          <t>Mobile App</t>
        </is>
      </c>
    </row>
    <row r="119" ht="19" customHeight="1">
      <c r="A119" s="21" t="inlineStr">
        <is>
          <t>ORD-2025467</t>
        </is>
      </c>
      <c r="B119" s="21" t="inlineStr">
        <is>
          <t>2025-10-06</t>
        </is>
      </c>
      <c r="C119" s="21" t="inlineStr">
        <is>
          <t>PD-006-XS</t>
        </is>
      </c>
      <c r="D119" s="21" t="inlineStr">
        <is>
          <t>PD-006</t>
        </is>
      </c>
      <c r="E119" s="12" t="inlineStr">
        <is>
          <t>Chiffon Crimson Blouse</t>
        </is>
      </c>
      <c r="F119" s="12" t="inlineStr">
        <is>
          <t>Tops</t>
        </is>
      </c>
      <c r="G119" s="21" t="inlineStr">
        <is>
          <t>XS</t>
        </is>
      </c>
      <c r="H119" s="13" t="n">
        <v>5</v>
      </c>
      <c r="I119" s="14" t="n">
        <v>3200</v>
      </c>
      <c r="J119" s="14">
        <f>H119*I119</f>
        <v/>
      </c>
      <c r="K119" s="14" t="n">
        <v>1100</v>
      </c>
      <c r="L119" s="14">
        <f>H119*K119</f>
        <v/>
      </c>
      <c r="M119" s="14">
        <f>J119-L119</f>
        <v/>
      </c>
      <c r="N119" s="21" t="inlineStr">
        <is>
          <t>WH-DEL-03</t>
        </is>
      </c>
      <c r="O119" s="21" t="inlineStr">
        <is>
          <t>Retail Store</t>
        </is>
      </c>
    </row>
    <row r="120" ht="19" customHeight="1">
      <c r="A120" s="20" t="inlineStr">
        <is>
          <t>ORD-2025034</t>
        </is>
      </c>
      <c r="B120" s="20" t="inlineStr">
        <is>
          <t>2025-10-07</t>
        </is>
      </c>
      <c r="C120" s="20" t="inlineStr">
        <is>
          <t>PD-005-XL</t>
        </is>
      </c>
      <c r="D120" s="20" t="inlineStr">
        <is>
          <t>PD-005</t>
        </is>
      </c>
      <c r="E120" s="9" t="inlineStr">
        <is>
          <t>Shiraz Wrap Evening Dress</t>
        </is>
      </c>
      <c r="F120" s="9" t="inlineStr">
        <is>
          <t>Dresses</t>
        </is>
      </c>
      <c r="G120" s="20" t="inlineStr">
        <is>
          <t>XL</t>
        </is>
      </c>
      <c r="H120" s="10" t="n">
        <v>1</v>
      </c>
      <c r="I120" s="11" t="n">
        <v>9200</v>
      </c>
      <c r="J120" s="11">
        <f>H120*I120</f>
        <v/>
      </c>
      <c r="K120" s="11" t="n">
        <v>3500</v>
      </c>
      <c r="L120" s="11">
        <f>H120*K120</f>
        <v/>
      </c>
      <c r="M120" s="11">
        <f>J120-L120</f>
        <v/>
      </c>
      <c r="N120" s="20" t="inlineStr">
        <is>
          <t>WH-BLR-02</t>
        </is>
      </c>
      <c r="O120" s="20" t="inlineStr">
        <is>
          <t>Retail Store</t>
        </is>
      </c>
    </row>
    <row r="121" ht="19" customHeight="1">
      <c r="A121" s="21" t="inlineStr">
        <is>
          <t>ORD-2025178</t>
        </is>
      </c>
      <c r="B121" s="21" t="inlineStr">
        <is>
          <t>2025-10-07</t>
        </is>
      </c>
      <c r="C121" s="21" t="inlineStr">
        <is>
          <t>PD-004-XL</t>
        </is>
      </c>
      <c r="D121" s="21" t="inlineStr">
        <is>
          <t>PD-004</t>
        </is>
      </c>
      <c r="E121" s="12" t="inlineStr">
        <is>
          <t>Rosé Off-Shoulder Mini</t>
        </is>
      </c>
      <c r="F121" s="12" t="inlineStr">
        <is>
          <t>Dresses</t>
        </is>
      </c>
      <c r="G121" s="21" t="inlineStr">
        <is>
          <t>XL</t>
        </is>
      </c>
      <c r="H121" s="13" t="n">
        <v>5</v>
      </c>
      <c r="I121" s="14" t="n">
        <v>4900</v>
      </c>
      <c r="J121" s="14">
        <f>H121*I121</f>
        <v/>
      </c>
      <c r="K121" s="14" t="n">
        <v>1800</v>
      </c>
      <c r="L121" s="14">
        <f>H121*K121</f>
        <v/>
      </c>
      <c r="M121" s="14">
        <f>J121-L121</f>
        <v/>
      </c>
      <c r="N121" s="21" t="inlineStr">
        <is>
          <t>WH-DEL-03</t>
        </is>
      </c>
      <c r="O121" s="21" t="inlineStr">
        <is>
          <t>Mobile App</t>
        </is>
      </c>
    </row>
    <row r="122" ht="19" customHeight="1">
      <c r="A122" s="20" t="inlineStr">
        <is>
          <t>ORD-2025402</t>
        </is>
      </c>
      <c r="B122" s="20" t="inlineStr">
        <is>
          <t>2025-10-08</t>
        </is>
      </c>
      <c r="C122" s="20" t="inlineStr">
        <is>
          <t>PD-009-XL</t>
        </is>
      </c>
      <c r="D122" s="20" t="inlineStr">
        <is>
          <t>PD-009</t>
        </is>
      </c>
      <c r="E122" s="9" t="inlineStr">
        <is>
          <t>Syrah Pleated Maxi Skirt</t>
        </is>
      </c>
      <c r="F122" s="9" t="inlineStr">
        <is>
          <t>Skirts</t>
        </is>
      </c>
      <c r="G122" s="20" t="inlineStr">
        <is>
          <t>XL</t>
        </is>
      </c>
      <c r="H122" s="10" t="n">
        <v>4</v>
      </c>
      <c r="I122" s="11" t="n">
        <v>5400</v>
      </c>
      <c r="J122" s="11">
        <f>H122*I122</f>
        <v/>
      </c>
      <c r="K122" s="11" t="n">
        <v>1900</v>
      </c>
      <c r="L122" s="11">
        <f>H122*K122</f>
        <v/>
      </c>
      <c r="M122" s="11">
        <f>J122-L122</f>
        <v/>
      </c>
      <c r="N122" s="20" t="inlineStr">
        <is>
          <t>WH-BLR-02</t>
        </is>
      </c>
      <c r="O122" s="20" t="inlineStr">
        <is>
          <t>Retail Store</t>
        </is>
      </c>
    </row>
    <row r="123" ht="19" customHeight="1">
      <c r="A123" s="21" t="inlineStr">
        <is>
          <t>ORD-2025089</t>
        </is>
      </c>
      <c r="B123" s="21" t="inlineStr">
        <is>
          <t>2025-10-09</t>
        </is>
      </c>
      <c r="C123" s="21" t="inlineStr">
        <is>
          <t>PD-009-M</t>
        </is>
      </c>
      <c r="D123" s="21" t="inlineStr">
        <is>
          <t>PD-009</t>
        </is>
      </c>
      <c r="E123" s="12" t="inlineStr">
        <is>
          <t>Syrah Pleated Maxi Skirt</t>
        </is>
      </c>
      <c r="F123" s="12" t="inlineStr">
        <is>
          <t>Skirts</t>
        </is>
      </c>
      <c r="G123" s="21" t="inlineStr">
        <is>
          <t>M</t>
        </is>
      </c>
      <c r="H123" s="13" t="n">
        <v>1</v>
      </c>
      <c r="I123" s="14" t="n">
        <v>5400</v>
      </c>
      <c r="J123" s="14">
        <f>H123*I123</f>
        <v/>
      </c>
      <c r="K123" s="14" t="n">
        <v>1900</v>
      </c>
      <c r="L123" s="14">
        <f>H123*K123</f>
        <v/>
      </c>
      <c r="M123" s="14">
        <f>J123-L123</f>
        <v/>
      </c>
      <c r="N123" s="21" t="inlineStr">
        <is>
          <t>WH-BLR-02</t>
        </is>
      </c>
      <c r="O123" s="21" t="inlineStr">
        <is>
          <t>Mobile App</t>
        </is>
      </c>
    </row>
    <row r="124" ht="19" customHeight="1">
      <c r="A124" s="20" t="inlineStr">
        <is>
          <t>ORD-2025171</t>
        </is>
      </c>
      <c r="B124" s="20" t="inlineStr">
        <is>
          <t>2025-10-11</t>
        </is>
      </c>
      <c r="C124" s="20" t="inlineStr">
        <is>
          <t>PD-008-XS</t>
        </is>
      </c>
      <c r="D124" s="20" t="inlineStr">
        <is>
          <t>PD-008</t>
        </is>
      </c>
      <c r="E124" s="9" t="inlineStr">
        <is>
          <t>Tuscan Sun Silk Skirt</t>
        </is>
      </c>
      <c r="F124" s="9" t="inlineStr">
        <is>
          <t>Skirts</t>
        </is>
      </c>
      <c r="G124" s="20" t="inlineStr">
        <is>
          <t>XS</t>
        </is>
      </c>
      <c r="H124" s="10" t="n">
        <v>1</v>
      </c>
      <c r="I124" s="11" t="n">
        <v>4500</v>
      </c>
      <c r="J124" s="11">
        <f>H124*I124</f>
        <v/>
      </c>
      <c r="K124" s="11" t="n">
        <v>1600</v>
      </c>
      <c r="L124" s="11">
        <f>H124*K124</f>
        <v/>
      </c>
      <c r="M124" s="11">
        <f>J124-L124</f>
        <v/>
      </c>
      <c r="N124" s="20" t="inlineStr">
        <is>
          <t>WH-HYD-01</t>
        </is>
      </c>
      <c r="O124" s="20" t="inlineStr">
        <is>
          <t>Online Store</t>
        </is>
      </c>
    </row>
    <row r="125" ht="19" customHeight="1">
      <c r="A125" s="21" t="inlineStr">
        <is>
          <t>ORD-2025185</t>
        </is>
      </c>
      <c r="B125" s="21" t="inlineStr">
        <is>
          <t>2025-10-12</t>
        </is>
      </c>
      <c r="C125" s="21" t="inlineStr">
        <is>
          <t>PD-007-XS</t>
        </is>
      </c>
      <c r="D125" s="21" t="inlineStr">
        <is>
          <t>PD-007</t>
        </is>
      </c>
      <c r="E125" s="12" t="inlineStr">
        <is>
          <t>Burgundy Trench Coat</t>
        </is>
      </c>
      <c r="F125" s="12" t="inlineStr">
        <is>
          <t>Outerwear</t>
        </is>
      </c>
      <c r="G125" s="21" t="inlineStr">
        <is>
          <t>XS</t>
        </is>
      </c>
      <c r="H125" s="13" t="n">
        <v>5</v>
      </c>
      <c r="I125" s="14" t="n">
        <v>12500</v>
      </c>
      <c r="J125" s="14">
        <f>H125*I125</f>
        <v/>
      </c>
      <c r="K125" s="14" t="n">
        <v>4800</v>
      </c>
      <c r="L125" s="14">
        <f>H125*K125</f>
        <v/>
      </c>
      <c r="M125" s="14">
        <f>J125-L125</f>
        <v/>
      </c>
      <c r="N125" s="21" t="inlineStr">
        <is>
          <t>WH-DEL-03</t>
        </is>
      </c>
      <c r="O125" s="21" t="inlineStr">
        <is>
          <t>Retail Store</t>
        </is>
      </c>
    </row>
    <row r="126" ht="19" customHeight="1">
      <c r="A126" s="20" t="inlineStr">
        <is>
          <t>ORD-2025242</t>
        </is>
      </c>
      <c r="B126" s="20" t="inlineStr">
        <is>
          <t>2025-10-12</t>
        </is>
      </c>
      <c r="C126" s="20" t="inlineStr">
        <is>
          <t>PD-003-M</t>
        </is>
      </c>
      <c r="D126" s="20" t="inlineStr">
        <is>
          <t>PD-003</t>
        </is>
      </c>
      <c r="E126" s="9" t="inlineStr">
        <is>
          <t>Bordeaux Lace Midi</t>
        </is>
      </c>
      <c r="F126" s="9" t="inlineStr">
        <is>
          <t>Dresses</t>
        </is>
      </c>
      <c r="G126" s="20" t="inlineStr">
        <is>
          <t>M</t>
        </is>
      </c>
      <c r="H126" s="10" t="n">
        <v>2</v>
      </c>
      <c r="I126" s="11" t="n">
        <v>7800</v>
      </c>
      <c r="J126" s="11">
        <f>H126*I126</f>
        <v/>
      </c>
      <c r="K126" s="11" t="n">
        <v>2800</v>
      </c>
      <c r="L126" s="11">
        <f>H126*K126</f>
        <v/>
      </c>
      <c r="M126" s="11">
        <f>J126-L126</f>
        <v/>
      </c>
      <c r="N126" s="20" t="inlineStr">
        <is>
          <t>WH-DEL-03</t>
        </is>
      </c>
      <c r="O126" s="20" t="inlineStr">
        <is>
          <t>Retail Store</t>
        </is>
      </c>
    </row>
    <row r="127" ht="19" customHeight="1">
      <c r="A127" s="21" t="inlineStr">
        <is>
          <t>ORD-2025313</t>
        </is>
      </c>
      <c r="B127" s="21" t="inlineStr">
        <is>
          <t>2025-10-12</t>
        </is>
      </c>
      <c r="C127" s="21" t="inlineStr">
        <is>
          <t>PD-002-L</t>
        </is>
      </c>
      <c r="D127" s="21" t="inlineStr">
        <is>
          <t>PD-002</t>
        </is>
      </c>
      <c r="E127" s="12" t="inlineStr">
        <is>
          <t>Merlot Satin Slip Dress</t>
        </is>
      </c>
      <c r="F127" s="12" t="inlineStr">
        <is>
          <t>Dresses</t>
        </is>
      </c>
      <c r="G127" s="21" t="inlineStr">
        <is>
          <t>L</t>
        </is>
      </c>
      <c r="H127" s="13" t="n">
        <v>4</v>
      </c>
      <c r="I127" s="14" t="n">
        <v>6200</v>
      </c>
      <c r="J127" s="14">
        <f>H127*I127</f>
        <v/>
      </c>
      <c r="K127" s="14" t="n">
        <v>2100</v>
      </c>
      <c r="L127" s="14">
        <f>H127*K127</f>
        <v/>
      </c>
      <c r="M127" s="14">
        <f>J127-L127</f>
        <v/>
      </c>
      <c r="N127" s="21" t="inlineStr">
        <is>
          <t>WH-DEL-03</t>
        </is>
      </c>
      <c r="O127" s="21" t="inlineStr">
        <is>
          <t>Mobile App</t>
        </is>
      </c>
    </row>
    <row r="128" ht="19" customHeight="1">
      <c r="A128" s="20" t="inlineStr">
        <is>
          <t>ORD-2025119</t>
        </is>
      </c>
      <c r="B128" s="20" t="inlineStr">
        <is>
          <t>2025-10-16</t>
        </is>
      </c>
      <c r="C128" s="20" t="inlineStr">
        <is>
          <t>PD-001-L</t>
        </is>
      </c>
      <c r="D128" s="20" t="inlineStr">
        <is>
          <t>PD-001</t>
        </is>
      </c>
      <c r="E128" s="9" t="inlineStr">
        <is>
          <t>Cabernet Velvet Gown</t>
        </is>
      </c>
      <c r="F128" s="9" t="inlineStr">
        <is>
          <t>Dresses</t>
        </is>
      </c>
      <c r="G128" s="20" t="inlineStr">
        <is>
          <t>L</t>
        </is>
      </c>
      <c r="H128" s="10" t="n">
        <v>3</v>
      </c>
      <c r="I128" s="11" t="n">
        <v>8500</v>
      </c>
      <c r="J128" s="11">
        <f>H128*I128</f>
        <v/>
      </c>
      <c r="K128" s="11" t="n">
        <v>3200</v>
      </c>
      <c r="L128" s="11">
        <f>H128*K128</f>
        <v/>
      </c>
      <c r="M128" s="11">
        <f>J128-L128</f>
        <v/>
      </c>
      <c r="N128" s="20" t="inlineStr">
        <is>
          <t>WH-BLR-02</t>
        </is>
      </c>
      <c r="O128" s="20" t="inlineStr">
        <is>
          <t>Retail Store</t>
        </is>
      </c>
    </row>
    <row r="129" ht="19" customHeight="1">
      <c r="A129" s="21" t="inlineStr">
        <is>
          <t>ORD-2025397</t>
        </is>
      </c>
      <c r="B129" s="21" t="inlineStr">
        <is>
          <t>2025-10-18</t>
        </is>
      </c>
      <c r="C129" s="21" t="inlineStr">
        <is>
          <t>PD-007-S</t>
        </is>
      </c>
      <c r="D129" s="21" t="inlineStr">
        <is>
          <t>PD-007</t>
        </is>
      </c>
      <c r="E129" s="12" t="inlineStr">
        <is>
          <t>Burgundy Trench Coat</t>
        </is>
      </c>
      <c r="F129" s="12" t="inlineStr">
        <is>
          <t>Outerwear</t>
        </is>
      </c>
      <c r="G129" s="21" t="inlineStr">
        <is>
          <t>S</t>
        </is>
      </c>
      <c r="H129" s="13" t="n">
        <v>4</v>
      </c>
      <c r="I129" s="14" t="n">
        <v>12500</v>
      </c>
      <c r="J129" s="14">
        <f>H129*I129</f>
        <v/>
      </c>
      <c r="K129" s="14" t="n">
        <v>4800</v>
      </c>
      <c r="L129" s="14">
        <f>H129*K129</f>
        <v/>
      </c>
      <c r="M129" s="14">
        <f>J129-L129</f>
        <v/>
      </c>
      <c r="N129" s="21" t="inlineStr">
        <is>
          <t>WH-BLR-02</t>
        </is>
      </c>
      <c r="O129" s="21" t="inlineStr">
        <is>
          <t>Mobile App</t>
        </is>
      </c>
    </row>
    <row r="130" ht="19" customHeight="1">
      <c r="A130" s="20" t="inlineStr">
        <is>
          <t>ORD-2025145</t>
        </is>
      </c>
      <c r="B130" s="20" t="inlineStr">
        <is>
          <t>2025-10-20</t>
        </is>
      </c>
      <c r="C130" s="20" t="inlineStr">
        <is>
          <t>PD-002-XS</t>
        </is>
      </c>
      <c r="D130" s="20" t="inlineStr">
        <is>
          <t>PD-002</t>
        </is>
      </c>
      <c r="E130" s="9" t="inlineStr">
        <is>
          <t>Merlot Satin Slip Dress</t>
        </is>
      </c>
      <c r="F130" s="9" t="inlineStr">
        <is>
          <t>Dresses</t>
        </is>
      </c>
      <c r="G130" s="20" t="inlineStr">
        <is>
          <t>XS</t>
        </is>
      </c>
      <c r="H130" s="10" t="n">
        <v>2</v>
      </c>
      <c r="I130" s="11" t="n">
        <v>6200</v>
      </c>
      <c r="J130" s="11">
        <f>H130*I130</f>
        <v/>
      </c>
      <c r="K130" s="11" t="n">
        <v>2100</v>
      </c>
      <c r="L130" s="11">
        <f>H130*K130</f>
        <v/>
      </c>
      <c r="M130" s="11">
        <f>J130-L130</f>
        <v/>
      </c>
      <c r="N130" s="20" t="inlineStr">
        <is>
          <t>WH-DEL-03</t>
        </is>
      </c>
      <c r="O130" s="20" t="inlineStr">
        <is>
          <t>Retail Store</t>
        </is>
      </c>
    </row>
    <row r="131" ht="19" customHeight="1">
      <c r="A131" s="21" t="inlineStr">
        <is>
          <t>ORD-2025153</t>
        </is>
      </c>
      <c r="B131" s="21" t="inlineStr">
        <is>
          <t>2025-10-21</t>
        </is>
      </c>
      <c r="C131" s="21" t="inlineStr">
        <is>
          <t>PD-005-XS</t>
        </is>
      </c>
      <c r="D131" s="21" t="inlineStr">
        <is>
          <t>PD-005</t>
        </is>
      </c>
      <c r="E131" s="12" t="inlineStr">
        <is>
          <t>Shiraz Wrap Evening Dress</t>
        </is>
      </c>
      <c r="F131" s="12" t="inlineStr">
        <is>
          <t>Dresses</t>
        </is>
      </c>
      <c r="G131" s="21" t="inlineStr">
        <is>
          <t>XS</t>
        </is>
      </c>
      <c r="H131" s="13" t="n">
        <v>1</v>
      </c>
      <c r="I131" s="14" t="n">
        <v>9200</v>
      </c>
      <c r="J131" s="14">
        <f>H131*I131</f>
        <v/>
      </c>
      <c r="K131" s="14" t="n">
        <v>3500</v>
      </c>
      <c r="L131" s="14">
        <f>H131*K131</f>
        <v/>
      </c>
      <c r="M131" s="14">
        <f>J131-L131</f>
        <v/>
      </c>
      <c r="N131" s="21" t="inlineStr">
        <is>
          <t>WH-DEL-03</t>
        </is>
      </c>
      <c r="O131" s="21" t="inlineStr">
        <is>
          <t>Mobile App</t>
        </is>
      </c>
    </row>
    <row r="132" ht="19" customHeight="1">
      <c r="A132" s="20" t="inlineStr">
        <is>
          <t>ORD-2025353</t>
        </is>
      </c>
      <c r="B132" s="20" t="inlineStr">
        <is>
          <t>2025-10-21</t>
        </is>
      </c>
      <c r="C132" s="20" t="inlineStr">
        <is>
          <t>PD-003-XL</t>
        </is>
      </c>
      <c r="D132" s="20" t="inlineStr">
        <is>
          <t>PD-003</t>
        </is>
      </c>
      <c r="E132" s="9" t="inlineStr">
        <is>
          <t>Bordeaux Lace Midi</t>
        </is>
      </c>
      <c r="F132" s="9" t="inlineStr">
        <is>
          <t>Dresses</t>
        </is>
      </c>
      <c r="G132" s="20" t="inlineStr">
        <is>
          <t>XL</t>
        </is>
      </c>
      <c r="H132" s="10" t="n">
        <v>2</v>
      </c>
      <c r="I132" s="11" t="n">
        <v>7800</v>
      </c>
      <c r="J132" s="11">
        <f>H132*I132</f>
        <v/>
      </c>
      <c r="K132" s="11" t="n">
        <v>2800</v>
      </c>
      <c r="L132" s="11">
        <f>H132*K132</f>
        <v/>
      </c>
      <c r="M132" s="11">
        <f>J132-L132</f>
        <v/>
      </c>
      <c r="N132" s="20" t="inlineStr">
        <is>
          <t>WH-HYD-01</t>
        </is>
      </c>
      <c r="O132" s="20" t="inlineStr">
        <is>
          <t>Online Store</t>
        </is>
      </c>
    </row>
    <row r="133" ht="19" customHeight="1">
      <c r="A133" s="21" t="inlineStr">
        <is>
          <t>ORD-2025484</t>
        </is>
      </c>
      <c r="B133" s="21" t="inlineStr">
        <is>
          <t>2025-10-21</t>
        </is>
      </c>
      <c r="C133" s="21" t="inlineStr">
        <is>
          <t>PD-004-XS</t>
        </is>
      </c>
      <c r="D133" s="21" t="inlineStr">
        <is>
          <t>PD-004</t>
        </is>
      </c>
      <c r="E133" s="12" t="inlineStr">
        <is>
          <t>Rosé Off-Shoulder Mini</t>
        </is>
      </c>
      <c r="F133" s="12" t="inlineStr">
        <is>
          <t>Dresses</t>
        </is>
      </c>
      <c r="G133" s="21" t="inlineStr">
        <is>
          <t>XS</t>
        </is>
      </c>
      <c r="H133" s="13" t="n">
        <v>3</v>
      </c>
      <c r="I133" s="14" t="n">
        <v>4900</v>
      </c>
      <c r="J133" s="14">
        <f>H133*I133</f>
        <v/>
      </c>
      <c r="K133" s="14" t="n">
        <v>1800</v>
      </c>
      <c r="L133" s="14">
        <f>H133*K133</f>
        <v/>
      </c>
      <c r="M133" s="14">
        <f>J133-L133</f>
        <v/>
      </c>
      <c r="N133" s="21" t="inlineStr">
        <is>
          <t>WH-DEL-03</t>
        </is>
      </c>
      <c r="O133" s="21" t="inlineStr">
        <is>
          <t>Retail Store</t>
        </is>
      </c>
    </row>
    <row r="134" ht="19" customHeight="1">
      <c r="A134" s="20" t="inlineStr">
        <is>
          <t>ORD-2025324</t>
        </is>
      </c>
      <c r="B134" s="20" t="inlineStr">
        <is>
          <t>2025-10-22</t>
        </is>
      </c>
      <c r="C134" s="20" t="inlineStr">
        <is>
          <t>PD-010-XL</t>
        </is>
      </c>
      <c r="D134" s="20" t="inlineStr">
        <is>
          <t>PD-010</t>
        </is>
      </c>
      <c r="E134" s="9" t="inlineStr">
        <is>
          <t>Noir Tailored Blazer</t>
        </is>
      </c>
      <c r="F134" s="9" t="inlineStr">
        <is>
          <t>Outerwear</t>
        </is>
      </c>
      <c r="G134" s="20" t="inlineStr">
        <is>
          <t>XL</t>
        </is>
      </c>
      <c r="H134" s="10" t="n">
        <v>3</v>
      </c>
      <c r="I134" s="11" t="n">
        <v>11000</v>
      </c>
      <c r="J134" s="11">
        <f>H134*I134</f>
        <v/>
      </c>
      <c r="K134" s="11" t="n">
        <v>4200</v>
      </c>
      <c r="L134" s="11">
        <f>H134*K134</f>
        <v/>
      </c>
      <c r="M134" s="11">
        <f>J134-L134</f>
        <v/>
      </c>
      <c r="N134" s="20" t="inlineStr">
        <is>
          <t>WH-BLR-02</t>
        </is>
      </c>
      <c r="O134" s="20" t="inlineStr">
        <is>
          <t>Mobile App</t>
        </is>
      </c>
    </row>
    <row r="135" ht="19" customHeight="1">
      <c r="A135" s="21" t="inlineStr">
        <is>
          <t>ORD-2025392</t>
        </is>
      </c>
      <c r="B135" s="21" t="inlineStr">
        <is>
          <t>2025-10-25</t>
        </is>
      </c>
      <c r="C135" s="21" t="inlineStr">
        <is>
          <t>PD-001-M</t>
        </is>
      </c>
      <c r="D135" s="21" t="inlineStr">
        <is>
          <t>PD-001</t>
        </is>
      </c>
      <c r="E135" s="12" t="inlineStr">
        <is>
          <t>Cabernet Velvet Gown</t>
        </is>
      </c>
      <c r="F135" s="12" t="inlineStr">
        <is>
          <t>Dresses</t>
        </is>
      </c>
      <c r="G135" s="21" t="inlineStr">
        <is>
          <t>M</t>
        </is>
      </c>
      <c r="H135" s="13" t="n">
        <v>3</v>
      </c>
      <c r="I135" s="14" t="n">
        <v>8500</v>
      </c>
      <c r="J135" s="14">
        <f>H135*I135</f>
        <v/>
      </c>
      <c r="K135" s="14" t="n">
        <v>3200</v>
      </c>
      <c r="L135" s="14">
        <f>H135*K135</f>
        <v/>
      </c>
      <c r="M135" s="14">
        <f>J135-L135</f>
        <v/>
      </c>
      <c r="N135" s="21" t="inlineStr">
        <is>
          <t>WH-BLR-02</t>
        </is>
      </c>
      <c r="O135" s="21" t="inlineStr">
        <is>
          <t>Mobile App</t>
        </is>
      </c>
    </row>
    <row r="136" ht="19" customHeight="1">
      <c r="A136" s="20" t="inlineStr">
        <is>
          <t>ORD-2025055</t>
        </is>
      </c>
      <c r="B136" s="20" t="inlineStr">
        <is>
          <t>2025-10-30</t>
        </is>
      </c>
      <c r="C136" s="20" t="inlineStr">
        <is>
          <t>PD-010-XS</t>
        </is>
      </c>
      <c r="D136" s="20" t="inlineStr">
        <is>
          <t>PD-010</t>
        </is>
      </c>
      <c r="E136" s="9" t="inlineStr">
        <is>
          <t>Noir Tailored Blazer</t>
        </is>
      </c>
      <c r="F136" s="9" t="inlineStr">
        <is>
          <t>Outerwear</t>
        </is>
      </c>
      <c r="G136" s="20" t="inlineStr">
        <is>
          <t>XS</t>
        </is>
      </c>
      <c r="H136" s="10" t="n">
        <v>3</v>
      </c>
      <c r="I136" s="11" t="n">
        <v>11000</v>
      </c>
      <c r="J136" s="11">
        <f>H136*I136</f>
        <v/>
      </c>
      <c r="K136" s="11" t="n">
        <v>4200</v>
      </c>
      <c r="L136" s="11">
        <f>H136*K136</f>
        <v/>
      </c>
      <c r="M136" s="11">
        <f>J136-L136</f>
        <v/>
      </c>
      <c r="N136" s="20" t="inlineStr">
        <is>
          <t>WH-HYD-01</t>
        </is>
      </c>
      <c r="O136" s="20" t="inlineStr">
        <is>
          <t>Mobile App</t>
        </is>
      </c>
    </row>
    <row r="137" ht="19" customHeight="1">
      <c r="A137" s="21" t="inlineStr">
        <is>
          <t>ORD-2025064</t>
        </is>
      </c>
      <c r="B137" s="21" t="inlineStr">
        <is>
          <t>2025-10-30</t>
        </is>
      </c>
      <c r="C137" s="21" t="inlineStr">
        <is>
          <t>PD-009-L</t>
        </is>
      </c>
      <c r="D137" s="21" t="inlineStr">
        <is>
          <t>PD-009</t>
        </is>
      </c>
      <c r="E137" s="12" t="inlineStr">
        <is>
          <t>Syrah Pleated Maxi Skirt</t>
        </is>
      </c>
      <c r="F137" s="12" t="inlineStr">
        <is>
          <t>Skirts</t>
        </is>
      </c>
      <c r="G137" s="21" t="inlineStr">
        <is>
          <t>L</t>
        </is>
      </c>
      <c r="H137" s="13" t="n">
        <v>2</v>
      </c>
      <c r="I137" s="14" t="n">
        <v>5400</v>
      </c>
      <c r="J137" s="14">
        <f>H137*I137</f>
        <v/>
      </c>
      <c r="K137" s="14" t="n">
        <v>1900</v>
      </c>
      <c r="L137" s="14">
        <f>H137*K137</f>
        <v/>
      </c>
      <c r="M137" s="14">
        <f>J137-L137</f>
        <v/>
      </c>
      <c r="N137" s="21" t="inlineStr">
        <is>
          <t>WH-DEL-03</t>
        </is>
      </c>
      <c r="O137" s="21" t="inlineStr">
        <is>
          <t>Online Store</t>
        </is>
      </c>
    </row>
    <row r="138" ht="19" customHeight="1">
      <c r="A138" s="20" t="inlineStr">
        <is>
          <t>ORD-2025438</t>
        </is>
      </c>
      <c r="B138" s="20" t="inlineStr">
        <is>
          <t>2025-10-30</t>
        </is>
      </c>
      <c r="C138" s="20" t="inlineStr">
        <is>
          <t>PD-010-XL</t>
        </is>
      </c>
      <c r="D138" s="20" t="inlineStr">
        <is>
          <t>PD-010</t>
        </is>
      </c>
      <c r="E138" s="9" t="inlineStr">
        <is>
          <t>Noir Tailored Blazer</t>
        </is>
      </c>
      <c r="F138" s="9" t="inlineStr">
        <is>
          <t>Outerwear</t>
        </is>
      </c>
      <c r="G138" s="20" t="inlineStr">
        <is>
          <t>XL</t>
        </is>
      </c>
      <c r="H138" s="10" t="n">
        <v>5</v>
      </c>
      <c r="I138" s="11" t="n">
        <v>11000</v>
      </c>
      <c r="J138" s="11">
        <f>H138*I138</f>
        <v/>
      </c>
      <c r="K138" s="11" t="n">
        <v>4200</v>
      </c>
      <c r="L138" s="11">
        <f>H138*K138</f>
        <v/>
      </c>
      <c r="M138" s="11">
        <f>J138-L138</f>
        <v/>
      </c>
      <c r="N138" s="20" t="inlineStr">
        <is>
          <t>WH-BLR-02</t>
        </is>
      </c>
      <c r="O138" s="20" t="inlineStr">
        <is>
          <t>Mobile App</t>
        </is>
      </c>
    </row>
    <row r="139" ht="19" customHeight="1">
      <c r="A139" s="21" t="inlineStr">
        <is>
          <t>ORD-2025120</t>
        </is>
      </c>
      <c r="B139" s="21" t="inlineStr">
        <is>
          <t>2025-10-31</t>
        </is>
      </c>
      <c r="C139" s="21" t="inlineStr">
        <is>
          <t>PD-006-XL</t>
        </is>
      </c>
      <c r="D139" s="21" t="inlineStr">
        <is>
          <t>PD-006</t>
        </is>
      </c>
      <c r="E139" s="12" t="inlineStr">
        <is>
          <t>Chiffon Crimson Blouse</t>
        </is>
      </c>
      <c r="F139" s="12" t="inlineStr">
        <is>
          <t>Tops</t>
        </is>
      </c>
      <c r="G139" s="21" t="inlineStr">
        <is>
          <t>XL</t>
        </is>
      </c>
      <c r="H139" s="13" t="n">
        <v>3</v>
      </c>
      <c r="I139" s="14" t="n">
        <v>3200</v>
      </c>
      <c r="J139" s="14">
        <f>H139*I139</f>
        <v/>
      </c>
      <c r="K139" s="14" t="n">
        <v>1100</v>
      </c>
      <c r="L139" s="14">
        <f>H139*K139</f>
        <v/>
      </c>
      <c r="M139" s="14">
        <f>J139-L139</f>
        <v/>
      </c>
      <c r="N139" s="21" t="inlineStr">
        <is>
          <t>WH-BLR-02</t>
        </is>
      </c>
      <c r="O139" s="21" t="inlineStr">
        <is>
          <t>Retail Store</t>
        </is>
      </c>
    </row>
    <row r="140" ht="19" customHeight="1">
      <c r="A140" s="20" t="inlineStr">
        <is>
          <t>ORD-2025170</t>
        </is>
      </c>
      <c r="B140" s="20" t="inlineStr">
        <is>
          <t>2025-10-31</t>
        </is>
      </c>
      <c r="C140" s="20" t="inlineStr">
        <is>
          <t>PD-004-S</t>
        </is>
      </c>
      <c r="D140" s="20" t="inlineStr">
        <is>
          <t>PD-004</t>
        </is>
      </c>
      <c r="E140" s="9" t="inlineStr">
        <is>
          <t>Rosé Off-Shoulder Mini</t>
        </is>
      </c>
      <c r="F140" s="9" t="inlineStr">
        <is>
          <t>Dresses</t>
        </is>
      </c>
      <c r="G140" s="20" t="inlineStr">
        <is>
          <t>S</t>
        </is>
      </c>
      <c r="H140" s="10" t="n">
        <v>1</v>
      </c>
      <c r="I140" s="11" t="n">
        <v>4900</v>
      </c>
      <c r="J140" s="11">
        <f>H140*I140</f>
        <v/>
      </c>
      <c r="K140" s="11" t="n">
        <v>1800</v>
      </c>
      <c r="L140" s="11">
        <f>H140*K140</f>
        <v/>
      </c>
      <c r="M140" s="11">
        <f>J140-L140</f>
        <v/>
      </c>
      <c r="N140" s="20" t="inlineStr">
        <is>
          <t>WH-HYD-01</t>
        </is>
      </c>
      <c r="O140" s="20" t="inlineStr">
        <is>
          <t>Online Store</t>
        </is>
      </c>
    </row>
    <row r="141" ht="19" customHeight="1">
      <c r="A141" s="21" t="inlineStr">
        <is>
          <t>ORD-2025265</t>
        </is>
      </c>
      <c r="B141" s="21" t="inlineStr">
        <is>
          <t>2025-11-02</t>
        </is>
      </c>
      <c r="C141" s="21" t="inlineStr">
        <is>
          <t>PD-003-XL</t>
        </is>
      </c>
      <c r="D141" s="21" t="inlineStr">
        <is>
          <t>PD-003</t>
        </is>
      </c>
      <c r="E141" s="12" t="inlineStr">
        <is>
          <t>Bordeaux Lace Midi</t>
        </is>
      </c>
      <c r="F141" s="12" t="inlineStr">
        <is>
          <t>Dresses</t>
        </is>
      </c>
      <c r="G141" s="21" t="inlineStr">
        <is>
          <t>XL</t>
        </is>
      </c>
      <c r="H141" s="13" t="n">
        <v>3</v>
      </c>
      <c r="I141" s="14" t="n">
        <v>7800</v>
      </c>
      <c r="J141" s="14">
        <f>H141*I141</f>
        <v/>
      </c>
      <c r="K141" s="14" t="n">
        <v>2800</v>
      </c>
      <c r="L141" s="14">
        <f>H141*K141</f>
        <v/>
      </c>
      <c r="M141" s="14">
        <f>J141-L141</f>
        <v/>
      </c>
      <c r="N141" s="21" t="inlineStr">
        <is>
          <t>WH-HYD-01</t>
        </is>
      </c>
      <c r="O141" s="21" t="inlineStr">
        <is>
          <t>Mobile App</t>
        </is>
      </c>
    </row>
    <row r="142" ht="19" customHeight="1">
      <c r="A142" s="20" t="inlineStr">
        <is>
          <t>ORD-2025453</t>
        </is>
      </c>
      <c r="B142" s="20" t="inlineStr">
        <is>
          <t>2025-11-02</t>
        </is>
      </c>
      <c r="C142" s="20" t="inlineStr">
        <is>
          <t>PD-008-M</t>
        </is>
      </c>
      <c r="D142" s="20" t="inlineStr">
        <is>
          <t>PD-008</t>
        </is>
      </c>
      <c r="E142" s="9" t="inlineStr">
        <is>
          <t>Tuscan Sun Silk Skirt</t>
        </is>
      </c>
      <c r="F142" s="9" t="inlineStr">
        <is>
          <t>Skirts</t>
        </is>
      </c>
      <c r="G142" s="20" t="inlineStr">
        <is>
          <t>M</t>
        </is>
      </c>
      <c r="H142" s="10" t="n">
        <v>3</v>
      </c>
      <c r="I142" s="11" t="n">
        <v>4500</v>
      </c>
      <c r="J142" s="11">
        <f>H142*I142</f>
        <v/>
      </c>
      <c r="K142" s="11" t="n">
        <v>1600</v>
      </c>
      <c r="L142" s="11">
        <f>H142*K142</f>
        <v/>
      </c>
      <c r="M142" s="11">
        <f>J142-L142</f>
        <v/>
      </c>
      <c r="N142" s="20" t="inlineStr">
        <is>
          <t>WH-HYD-01</t>
        </is>
      </c>
      <c r="O142" s="20" t="inlineStr">
        <is>
          <t>Online Store</t>
        </is>
      </c>
    </row>
    <row r="143" ht="19" customHeight="1">
      <c r="A143" s="21" t="inlineStr">
        <is>
          <t>ORD-2025258</t>
        </is>
      </c>
      <c r="B143" s="21" t="inlineStr">
        <is>
          <t>2025-11-03</t>
        </is>
      </c>
      <c r="C143" s="21" t="inlineStr">
        <is>
          <t>PD-006-L</t>
        </is>
      </c>
      <c r="D143" s="21" t="inlineStr">
        <is>
          <t>PD-006</t>
        </is>
      </c>
      <c r="E143" s="12" t="inlineStr">
        <is>
          <t>Chiffon Crimson Blouse</t>
        </is>
      </c>
      <c r="F143" s="12" t="inlineStr">
        <is>
          <t>Tops</t>
        </is>
      </c>
      <c r="G143" s="21" t="inlineStr">
        <is>
          <t>L</t>
        </is>
      </c>
      <c r="H143" s="13" t="n">
        <v>4</v>
      </c>
      <c r="I143" s="14" t="n">
        <v>3200</v>
      </c>
      <c r="J143" s="14">
        <f>H143*I143</f>
        <v/>
      </c>
      <c r="K143" s="14" t="n">
        <v>1100</v>
      </c>
      <c r="L143" s="14">
        <f>H143*K143</f>
        <v/>
      </c>
      <c r="M143" s="14">
        <f>J143-L143</f>
        <v/>
      </c>
      <c r="N143" s="21" t="inlineStr">
        <is>
          <t>WH-HYD-01</t>
        </is>
      </c>
      <c r="O143" s="21" t="inlineStr">
        <is>
          <t>Retail Store</t>
        </is>
      </c>
    </row>
    <row r="144" ht="19" customHeight="1">
      <c r="A144" s="20" t="inlineStr">
        <is>
          <t>ORD-2025097</t>
        </is>
      </c>
      <c r="B144" s="20" t="inlineStr">
        <is>
          <t>2025-11-04</t>
        </is>
      </c>
      <c r="C144" s="20" t="inlineStr">
        <is>
          <t>PD-003-S</t>
        </is>
      </c>
      <c r="D144" s="20" t="inlineStr">
        <is>
          <t>PD-003</t>
        </is>
      </c>
      <c r="E144" s="9" t="inlineStr">
        <is>
          <t>Bordeaux Lace Midi</t>
        </is>
      </c>
      <c r="F144" s="9" t="inlineStr">
        <is>
          <t>Dresses</t>
        </is>
      </c>
      <c r="G144" s="20" t="inlineStr">
        <is>
          <t>S</t>
        </is>
      </c>
      <c r="H144" s="10" t="n">
        <v>5</v>
      </c>
      <c r="I144" s="11" t="n">
        <v>7800</v>
      </c>
      <c r="J144" s="11">
        <f>H144*I144</f>
        <v/>
      </c>
      <c r="K144" s="11" t="n">
        <v>2800</v>
      </c>
      <c r="L144" s="11">
        <f>H144*K144</f>
        <v/>
      </c>
      <c r="M144" s="11">
        <f>J144-L144</f>
        <v/>
      </c>
      <c r="N144" s="20" t="inlineStr">
        <is>
          <t>WH-BLR-02</t>
        </is>
      </c>
      <c r="O144" s="20" t="inlineStr">
        <is>
          <t>Online Store</t>
        </is>
      </c>
    </row>
    <row r="145" ht="19" customHeight="1">
      <c r="A145" s="21" t="inlineStr">
        <is>
          <t>ORD-2025368</t>
        </is>
      </c>
      <c r="B145" s="21" t="inlineStr">
        <is>
          <t>2025-11-05</t>
        </is>
      </c>
      <c r="C145" s="21" t="inlineStr">
        <is>
          <t>PD-006-L</t>
        </is>
      </c>
      <c r="D145" s="21" t="inlineStr">
        <is>
          <t>PD-006</t>
        </is>
      </c>
      <c r="E145" s="12" t="inlineStr">
        <is>
          <t>Chiffon Crimson Blouse</t>
        </is>
      </c>
      <c r="F145" s="12" t="inlineStr">
        <is>
          <t>Tops</t>
        </is>
      </c>
      <c r="G145" s="21" t="inlineStr">
        <is>
          <t>L</t>
        </is>
      </c>
      <c r="H145" s="13" t="n">
        <v>3</v>
      </c>
      <c r="I145" s="14" t="n">
        <v>3200</v>
      </c>
      <c r="J145" s="14">
        <f>H145*I145</f>
        <v/>
      </c>
      <c r="K145" s="14" t="n">
        <v>1100</v>
      </c>
      <c r="L145" s="14">
        <f>H145*K145</f>
        <v/>
      </c>
      <c r="M145" s="14">
        <f>J145-L145</f>
        <v/>
      </c>
      <c r="N145" s="21" t="inlineStr">
        <is>
          <t>WH-HYD-01</t>
        </is>
      </c>
      <c r="O145" s="21" t="inlineStr">
        <is>
          <t>Retail Store</t>
        </is>
      </c>
    </row>
    <row r="146" ht="19" customHeight="1">
      <c r="A146" s="20" t="inlineStr">
        <is>
          <t>ORD-2025123</t>
        </is>
      </c>
      <c r="B146" s="20" t="inlineStr">
        <is>
          <t>2025-11-06</t>
        </is>
      </c>
      <c r="C146" s="20" t="inlineStr">
        <is>
          <t>PD-009-S</t>
        </is>
      </c>
      <c r="D146" s="20" t="inlineStr">
        <is>
          <t>PD-009</t>
        </is>
      </c>
      <c r="E146" s="9" t="inlineStr">
        <is>
          <t>Syrah Pleated Maxi Skirt</t>
        </is>
      </c>
      <c r="F146" s="9" t="inlineStr">
        <is>
          <t>Skirts</t>
        </is>
      </c>
      <c r="G146" s="20" t="inlineStr">
        <is>
          <t>S</t>
        </is>
      </c>
      <c r="H146" s="10" t="n">
        <v>1</v>
      </c>
      <c r="I146" s="11" t="n">
        <v>5400</v>
      </c>
      <c r="J146" s="11">
        <f>H146*I146</f>
        <v/>
      </c>
      <c r="K146" s="11" t="n">
        <v>1900</v>
      </c>
      <c r="L146" s="11">
        <f>H146*K146</f>
        <v/>
      </c>
      <c r="M146" s="11">
        <f>J146-L146</f>
        <v/>
      </c>
      <c r="N146" s="20" t="inlineStr">
        <is>
          <t>WH-DEL-03</t>
        </is>
      </c>
      <c r="O146" s="20" t="inlineStr">
        <is>
          <t>Online Store</t>
        </is>
      </c>
    </row>
    <row r="147" ht="19" customHeight="1">
      <c r="A147" s="21" t="inlineStr">
        <is>
          <t>ORD-2025421</t>
        </is>
      </c>
      <c r="B147" s="21" t="inlineStr">
        <is>
          <t>2025-11-06</t>
        </is>
      </c>
      <c r="C147" s="21" t="inlineStr">
        <is>
          <t>PD-002-M</t>
        </is>
      </c>
      <c r="D147" s="21" t="inlineStr">
        <is>
          <t>PD-002</t>
        </is>
      </c>
      <c r="E147" s="12" t="inlineStr">
        <is>
          <t>Merlot Satin Slip Dress</t>
        </is>
      </c>
      <c r="F147" s="12" t="inlineStr">
        <is>
          <t>Dresses</t>
        </is>
      </c>
      <c r="G147" s="21" t="inlineStr">
        <is>
          <t>M</t>
        </is>
      </c>
      <c r="H147" s="13" t="n">
        <v>2</v>
      </c>
      <c r="I147" s="14" t="n">
        <v>6200</v>
      </c>
      <c r="J147" s="14">
        <f>H147*I147</f>
        <v/>
      </c>
      <c r="K147" s="14" t="n">
        <v>2100</v>
      </c>
      <c r="L147" s="14">
        <f>H147*K147</f>
        <v/>
      </c>
      <c r="M147" s="14">
        <f>J147-L147</f>
        <v/>
      </c>
      <c r="N147" s="21" t="inlineStr">
        <is>
          <t>WH-HYD-01</t>
        </is>
      </c>
      <c r="O147" s="21" t="inlineStr">
        <is>
          <t>Online Store</t>
        </is>
      </c>
    </row>
    <row r="148" ht="19" customHeight="1">
      <c r="A148" s="20" t="inlineStr">
        <is>
          <t>ORD-2025485</t>
        </is>
      </c>
      <c r="B148" s="20" t="inlineStr">
        <is>
          <t>2025-11-07</t>
        </is>
      </c>
      <c r="C148" s="20" t="inlineStr">
        <is>
          <t>PD-004-XL</t>
        </is>
      </c>
      <c r="D148" s="20" t="inlineStr">
        <is>
          <t>PD-004</t>
        </is>
      </c>
      <c r="E148" s="9" t="inlineStr">
        <is>
          <t>Rosé Off-Shoulder Mini</t>
        </is>
      </c>
      <c r="F148" s="9" t="inlineStr">
        <is>
          <t>Dresses</t>
        </is>
      </c>
      <c r="G148" s="20" t="inlineStr">
        <is>
          <t>XL</t>
        </is>
      </c>
      <c r="H148" s="10" t="n">
        <v>3</v>
      </c>
      <c r="I148" s="11" t="n">
        <v>4900</v>
      </c>
      <c r="J148" s="11">
        <f>H148*I148</f>
        <v/>
      </c>
      <c r="K148" s="11" t="n">
        <v>1800</v>
      </c>
      <c r="L148" s="11">
        <f>H148*K148</f>
        <v/>
      </c>
      <c r="M148" s="11">
        <f>J148-L148</f>
        <v/>
      </c>
      <c r="N148" s="20" t="inlineStr">
        <is>
          <t>WH-DEL-03</t>
        </is>
      </c>
      <c r="O148" s="20" t="inlineStr">
        <is>
          <t>Online Store</t>
        </is>
      </c>
    </row>
    <row r="149" ht="19" customHeight="1">
      <c r="A149" s="21" t="inlineStr">
        <is>
          <t>ORD-2025495</t>
        </is>
      </c>
      <c r="B149" s="21" t="inlineStr">
        <is>
          <t>2025-11-07</t>
        </is>
      </c>
      <c r="C149" s="21" t="inlineStr">
        <is>
          <t>PD-009-XS</t>
        </is>
      </c>
      <c r="D149" s="21" t="inlineStr">
        <is>
          <t>PD-009</t>
        </is>
      </c>
      <c r="E149" s="12" t="inlineStr">
        <is>
          <t>Syrah Pleated Maxi Skirt</t>
        </is>
      </c>
      <c r="F149" s="12" t="inlineStr">
        <is>
          <t>Skirts</t>
        </is>
      </c>
      <c r="G149" s="21" t="inlineStr">
        <is>
          <t>XS</t>
        </is>
      </c>
      <c r="H149" s="13" t="n">
        <v>2</v>
      </c>
      <c r="I149" s="14" t="n">
        <v>5400</v>
      </c>
      <c r="J149" s="14">
        <f>H149*I149</f>
        <v/>
      </c>
      <c r="K149" s="14" t="n">
        <v>1900</v>
      </c>
      <c r="L149" s="14">
        <f>H149*K149</f>
        <v/>
      </c>
      <c r="M149" s="14">
        <f>J149-L149</f>
        <v/>
      </c>
      <c r="N149" s="21" t="inlineStr">
        <is>
          <t>WH-HYD-01</t>
        </is>
      </c>
      <c r="O149" s="21" t="inlineStr">
        <is>
          <t>Online Store</t>
        </is>
      </c>
    </row>
    <row r="150" ht="19" customHeight="1">
      <c r="A150" s="20" t="inlineStr">
        <is>
          <t>ORD-2025314</t>
        </is>
      </c>
      <c r="B150" s="20" t="inlineStr">
        <is>
          <t>2025-11-09</t>
        </is>
      </c>
      <c r="C150" s="20" t="inlineStr">
        <is>
          <t>PD-007-M</t>
        </is>
      </c>
      <c r="D150" s="20" t="inlineStr">
        <is>
          <t>PD-007</t>
        </is>
      </c>
      <c r="E150" s="9" t="inlineStr">
        <is>
          <t>Burgundy Trench Coat</t>
        </is>
      </c>
      <c r="F150" s="9" t="inlineStr">
        <is>
          <t>Outerwear</t>
        </is>
      </c>
      <c r="G150" s="20" t="inlineStr">
        <is>
          <t>M</t>
        </is>
      </c>
      <c r="H150" s="10" t="n">
        <v>5</v>
      </c>
      <c r="I150" s="11" t="n">
        <v>12500</v>
      </c>
      <c r="J150" s="11">
        <f>H150*I150</f>
        <v/>
      </c>
      <c r="K150" s="11" t="n">
        <v>4800</v>
      </c>
      <c r="L150" s="11">
        <f>H150*K150</f>
        <v/>
      </c>
      <c r="M150" s="11">
        <f>J150-L150</f>
        <v/>
      </c>
      <c r="N150" s="20" t="inlineStr">
        <is>
          <t>WH-DEL-03</t>
        </is>
      </c>
      <c r="O150" s="20" t="inlineStr">
        <is>
          <t>Retail Store</t>
        </is>
      </c>
    </row>
    <row r="151" ht="19" customHeight="1">
      <c r="A151" s="21" t="inlineStr">
        <is>
          <t>ORD-2025210</t>
        </is>
      </c>
      <c r="B151" s="21" t="inlineStr">
        <is>
          <t>2025-11-11</t>
        </is>
      </c>
      <c r="C151" s="21" t="inlineStr">
        <is>
          <t>PD-010-XL</t>
        </is>
      </c>
      <c r="D151" s="21" t="inlineStr">
        <is>
          <t>PD-010</t>
        </is>
      </c>
      <c r="E151" s="12" t="inlineStr">
        <is>
          <t>Noir Tailored Blazer</t>
        </is>
      </c>
      <c r="F151" s="12" t="inlineStr">
        <is>
          <t>Outerwear</t>
        </is>
      </c>
      <c r="G151" s="21" t="inlineStr">
        <is>
          <t>XL</t>
        </is>
      </c>
      <c r="H151" s="13" t="n">
        <v>4</v>
      </c>
      <c r="I151" s="14" t="n">
        <v>11000</v>
      </c>
      <c r="J151" s="14">
        <f>H151*I151</f>
        <v/>
      </c>
      <c r="K151" s="14" t="n">
        <v>4200</v>
      </c>
      <c r="L151" s="14">
        <f>H151*K151</f>
        <v/>
      </c>
      <c r="M151" s="14">
        <f>J151-L151</f>
        <v/>
      </c>
      <c r="N151" s="21" t="inlineStr">
        <is>
          <t>WH-HYD-01</t>
        </is>
      </c>
      <c r="O151" s="21" t="inlineStr">
        <is>
          <t>Retail Store</t>
        </is>
      </c>
    </row>
    <row r="152" ht="19" customHeight="1">
      <c r="A152" s="20" t="inlineStr">
        <is>
          <t>ORD-2025091</t>
        </is>
      </c>
      <c r="B152" s="20" t="inlineStr">
        <is>
          <t>2025-11-12</t>
        </is>
      </c>
      <c r="C152" s="20" t="inlineStr">
        <is>
          <t>PD-009-L</t>
        </is>
      </c>
      <c r="D152" s="20" t="inlineStr">
        <is>
          <t>PD-009</t>
        </is>
      </c>
      <c r="E152" s="9" t="inlineStr">
        <is>
          <t>Syrah Pleated Maxi Skirt</t>
        </is>
      </c>
      <c r="F152" s="9" t="inlineStr">
        <is>
          <t>Skirts</t>
        </is>
      </c>
      <c r="G152" s="20" t="inlineStr">
        <is>
          <t>L</t>
        </is>
      </c>
      <c r="H152" s="10" t="n">
        <v>3</v>
      </c>
      <c r="I152" s="11" t="n">
        <v>5400</v>
      </c>
      <c r="J152" s="11">
        <f>H152*I152</f>
        <v/>
      </c>
      <c r="K152" s="11" t="n">
        <v>1900</v>
      </c>
      <c r="L152" s="11">
        <f>H152*K152</f>
        <v/>
      </c>
      <c r="M152" s="11">
        <f>J152-L152</f>
        <v/>
      </c>
      <c r="N152" s="20" t="inlineStr">
        <is>
          <t>WH-HYD-01</t>
        </is>
      </c>
      <c r="O152" s="20" t="inlineStr">
        <is>
          <t>Online Store</t>
        </is>
      </c>
    </row>
    <row r="153" ht="19" customHeight="1">
      <c r="A153" s="21" t="inlineStr">
        <is>
          <t>ORD-2025408</t>
        </is>
      </c>
      <c r="B153" s="21" t="inlineStr">
        <is>
          <t>2025-11-12</t>
        </is>
      </c>
      <c r="C153" s="21" t="inlineStr">
        <is>
          <t>PD-010-XL</t>
        </is>
      </c>
      <c r="D153" s="21" t="inlineStr">
        <is>
          <t>PD-010</t>
        </is>
      </c>
      <c r="E153" s="12" t="inlineStr">
        <is>
          <t>Noir Tailored Blazer</t>
        </is>
      </c>
      <c r="F153" s="12" t="inlineStr">
        <is>
          <t>Outerwear</t>
        </is>
      </c>
      <c r="G153" s="21" t="inlineStr">
        <is>
          <t>XL</t>
        </is>
      </c>
      <c r="H153" s="13" t="n">
        <v>3</v>
      </c>
      <c r="I153" s="14" t="n">
        <v>11000</v>
      </c>
      <c r="J153" s="14">
        <f>H153*I153</f>
        <v/>
      </c>
      <c r="K153" s="14" t="n">
        <v>4200</v>
      </c>
      <c r="L153" s="14">
        <f>H153*K153</f>
        <v/>
      </c>
      <c r="M153" s="14">
        <f>J153-L153</f>
        <v/>
      </c>
      <c r="N153" s="21" t="inlineStr">
        <is>
          <t>WH-BLR-02</t>
        </is>
      </c>
      <c r="O153" s="21" t="inlineStr">
        <is>
          <t>Retail Store</t>
        </is>
      </c>
    </row>
    <row r="154" ht="19" customHeight="1">
      <c r="A154" s="20" t="inlineStr">
        <is>
          <t>ORD-2025359</t>
        </is>
      </c>
      <c r="B154" s="20" t="inlineStr">
        <is>
          <t>2025-11-13</t>
        </is>
      </c>
      <c r="C154" s="20" t="inlineStr">
        <is>
          <t>PD-006-L</t>
        </is>
      </c>
      <c r="D154" s="20" t="inlineStr">
        <is>
          <t>PD-006</t>
        </is>
      </c>
      <c r="E154" s="9" t="inlineStr">
        <is>
          <t>Chiffon Crimson Blouse</t>
        </is>
      </c>
      <c r="F154" s="9" t="inlineStr">
        <is>
          <t>Tops</t>
        </is>
      </c>
      <c r="G154" s="20" t="inlineStr">
        <is>
          <t>L</t>
        </is>
      </c>
      <c r="H154" s="10" t="n">
        <v>5</v>
      </c>
      <c r="I154" s="11" t="n">
        <v>3200</v>
      </c>
      <c r="J154" s="11">
        <f>H154*I154</f>
        <v/>
      </c>
      <c r="K154" s="11" t="n">
        <v>1100</v>
      </c>
      <c r="L154" s="11">
        <f>H154*K154</f>
        <v/>
      </c>
      <c r="M154" s="11">
        <f>J154-L154</f>
        <v/>
      </c>
      <c r="N154" s="20" t="inlineStr">
        <is>
          <t>WH-BLR-02</t>
        </is>
      </c>
      <c r="O154" s="20" t="inlineStr">
        <is>
          <t>Mobile App</t>
        </is>
      </c>
    </row>
    <row r="155" ht="19" customHeight="1">
      <c r="A155" s="21" t="inlineStr">
        <is>
          <t>ORD-2025104</t>
        </is>
      </c>
      <c r="B155" s="21" t="inlineStr">
        <is>
          <t>2025-11-14</t>
        </is>
      </c>
      <c r="C155" s="21" t="inlineStr">
        <is>
          <t>PD-004-M</t>
        </is>
      </c>
      <c r="D155" s="21" t="inlineStr">
        <is>
          <t>PD-004</t>
        </is>
      </c>
      <c r="E155" s="12" t="inlineStr">
        <is>
          <t>Rosé Off-Shoulder Mini</t>
        </is>
      </c>
      <c r="F155" s="12" t="inlineStr">
        <is>
          <t>Dresses</t>
        </is>
      </c>
      <c r="G155" s="21" t="inlineStr">
        <is>
          <t>M</t>
        </is>
      </c>
      <c r="H155" s="13" t="n">
        <v>4</v>
      </c>
      <c r="I155" s="14" t="n">
        <v>4900</v>
      </c>
      <c r="J155" s="14">
        <f>H155*I155</f>
        <v/>
      </c>
      <c r="K155" s="14" t="n">
        <v>1800</v>
      </c>
      <c r="L155" s="14">
        <f>H155*K155</f>
        <v/>
      </c>
      <c r="M155" s="14">
        <f>J155-L155</f>
        <v/>
      </c>
      <c r="N155" s="21" t="inlineStr">
        <is>
          <t>WH-HYD-01</t>
        </is>
      </c>
      <c r="O155" s="21" t="inlineStr">
        <is>
          <t>Mobile App</t>
        </is>
      </c>
    </row>
    <row r="156" ht="19" customHeight="1">
      <c r="A156" s="20" t="inlineStr">
        <is>
          <t>ORD-2025494</t>
        </is>
      </c>
      <c r="B156" s="20" t="inlineStr">
        <is>
          <t>2025-11-14</t>
        </is>
      </c>
      <c r="C156" s="20" t="inlineStr">
        <is>
          <t>PD-004-XS</t>
        </is>
      </c>
      <c r="D156" s="20" t="inlineStr">
        <is>
          <t>PD-004</t>
        </is>
      </c>
      <c r="E156" s="9" t="inlineStr">
        <is>
          <t>Rosé Off-Shoulder Mini</t>
        </is>
      </c>
      <c r="F156" s="9" t="inlineStr">
        <is>
          <t>Dresses</t>
        </is>
      </c>
      <c r="G156" s="20" t="inlineStr">
        <is>
          <t>XS</t>
        </is>
      </c>
      <c r="H156" s="10" t="n">
        <v>1</v>
      </c>
      <c r="I156" s="11" t="n">
        <v>4900</v>
      </c>
      <c r="J156" s="11">
        <f>H156*I156</f>
        <v/>
      </c>
      <c r="K156" s="11" t="n">
        <v>1800</v>
      </c>
      <c r="L156" s="11">
        <f>H156*K156</f>
        <v/>
      </c>
      <c r="M156" s="11">
        <f>J156-L156</f>
        <v/>
      </c>
      <c r="N156" s="20" t="inlineStr">
        <is>
          <t>WH-DEL-03</t>
        </is>
      </c>
      <c r="O156" s="20" t="inlineStr">
        <is>
          <t>Mobile App</t>
        </is>
      </c>
    </row>
    <row r="157" ht="19" customHeight="1">
      <c r="A157" s="21" t="inlineStr">
        <is>
          <t>ORD-2025149</t>
        </is>
      </c>
      <c r="B157" s="21" t="inlineStr">
        <is>
          <t>2025-11-16</t>
        </is>
      </c>
      <c r="C157" s="21" t="inlineStr">
        <is>
          <t>PD-004-XL</t>
        </is>
      </c>
      <c r="D157" s="21" t="inlineStr">
        <is>
          <t>PD-004</t>
        </is>
      </c>
      <c r="E157" s="12" t="inlineStr">
        <is>
          <t>Rosé Off-Shoulder Mini</t>
        </is>
      </c>
      <c r="F157" s="12" t="inlineStr">
        <is>
          <t>Dresses</t>
        </is>
      </c>
      <c r="G157" s="21" t="inlineStr">
        <is>
          <t>XL</t>
        </is>
      </c>
      <c r="H157" s="13" t="n">
        <v>5</v>
      </c>
      <c r="I157" s="14" t="n">
        <v>4900</v>
      </c>
      <c r="J157" s="14">
        <f>H157*I157</f>
        <v/>
      </c>
      <c r="K157" s="14" t="n">
        <v>1800</v>
      </c>
      <c r="L157" s="14">
        <f>H157*K157</f>
        <v/>
      </c>
      <c r="M157" s="14">
        <f>J157-L157</f>
        <v/>
      </c>
      <c r="N157" s="21" t="inlineStr">
        <is>
          <t>WH-BLR-02</t>
        </is>
      </c>
      <c r="O157" s="21" t="inlineStr">
        <is>
          <t>Retail Store</t>
        </is>
      </c>
    </row>
    <row r="158" ht="19" customHeight="1">
      <c r="A158" s="20" t="inlineStr">
        <is>
          <t>ORD-2025068</t>
        </is>
      </c>
      <c r="B158" s="20" t="inlineStr">
        <is>
          <t>2025-11-19</t>
        </is>
      </c>
      <c r="C158" s="20" t="inlineStr">
        <is>
          <t>PD-004-M</t>
        </is>
      </c>
      <c r="D158" s="20" t="inlineStr">
        <is>
          <t>PD-004</t>
        </is>
      </c>
      <c r="E158" s="9" t="inlineStr">
        <is>
          <t>Rosé Off-Shoulder Mini</t>
        </is>
      </c>
      <c r="F158" s="9" t="inlineStr">
        <is>
          <t>Dresses</t>
        </is>
      </c>
      <c r="G158" s="20" t="inlineStr">
        <is>
          <t>M</t>
        </is>
      </c>
      <c r="H158" s="10" t="n">
        <v>2</v>
      </c>
      <c r="I158" s="11" t="n">
        <v>4900</v>
      </c>
      <c r="J158" s="11">
        <f>H158*I158</f>
        <v/>
      </c>
      <c r="K158" s="11" t="n">
        <v>1800</v>
      </c>
      <c r="L158" s="11">
        <f>H158*K158</f>
        <v/>
      </c>
      <c r="M158" s="11">
        <f>J158-L158</f>
        <v/>
      </c>
      <c r="N158" s="20" t="inlineStr">
        <is>
          <t>WH-DEL-03</t>
        </is>
      </c>
      <c r="O158" s="20" t="inlineStr">
        <is>
          <t>Online Store</t>
        </is>
      </c>
    </row>
    <row r="159" ht="19" customHeight="1">
      <c r="A159" s="21" t="inlineStr">
        <is>
          <t>ORD-2025449</t>
        </is>
      </c>
      <c r="B159" s="21" t="inlineStr">
        <is>
          <t>2025-11-19</t>
        </is>
      </c>
      <c r="C159" s="21" t="inlineStr">
        <is>
          <t>PD-003-XS</t>
        </is>
      </c>
      <c r="D159" s="21" t="inlineStr">
        <is>
          <t>PD-003</t>
        </is>
      </c>
      <c r="E159" s="12" t="inlineStr">
        <is>
          <t>Bordeaux Lace Midi</t>
        </is>
      </c>
      <c r="F159" s="12" t="inlineStr">
        <is>
          <t>Dresses</t>
        </is>
      </c>
      <c r="G159" s="21" t="inlineStr">
        <is>
          <t>XS</t>
        </is>
      </c>
      <c r="H159" s="13" t="n">
        <v>3</v>
      </c>
      <c r="I159" s="14" t="n">
        <v>7800</v>
      </c>
      <c r="J159" s="14">
        <f>H159*I159</f>
        <v/>
      </c>
      <c r="K159" s="14" t="n">
        <v>2800</v>
      </c>
      <c r="L159" s="14">
        <f>H159*K159</f>
        <v/>
      </c>
      <c r="M159" s="14">
        <f>J159-L159</f>
        <v/>
      </c>
      <c r="N159" s="21" t="inlineStr">
        <is>
          <t>WH-DEL-03</t>
        </is>
      </c>
      <c r="O159" s="21" t="inlineStr">
        <is>
          <t>Mobile App</t>
        </is>
      </c>
    </row>
    <row r="160" ht="19" customHeight="1">
      <c r="A160" s="20" t="inlineStr">
        <is>
          <t>ORD-2025004</t>
        </is>
      </c>
      <c r="B160" s="20" t="inlineStr">
        <is>
          <t>2025-11-20</t>
        </is>
      </c>
      <c r="C160" s="20" t="inlineStr">
        <is>
          <t>PD-008-XS</t>
        </is>
      </c>
      <c r="D160" s="20" t="inlineStr">
        <is>
          <t>PD-008</t>
        </is>
      </c>
      <c r="E160" s="9" t="inlineStr">
        <is>
          <t>Tuscan Sun Silk Skirt</t>
        </is>
      </c>
      <c r="F160" s="9" t="inlineStr">
        <is>
          <t>Skirts</t>
        </is>
      </c>
      <c r="G160" s="20" t="inlineStr">
        <is>
          <t>XS</t>
        </is>
      </c>
      <c r="H160" s="10" t="n">
        <v>1</v>
      </c>
      <c r="I160" s="11" t="n">
        <v>4500</v>
      </c>
      <c r="J160" s="11">
        <f>H160*I160</f>
        <v/>
      </c>
      <c r="K160" s="11" t="n">
        <v>1600</v>
      </c>
      <c r="L160" s="11">
        <f>H160*K160</f>
        <v/>
      </c>
      <c r="M160" s="11">
        <f>J160-L160</f>
        <v/>
      </c>
      <c r="N160" s="20" t="inlineStr">
        <is>
          <t>WH-DEL-03</t>
        </is>
      </c>
      <c r="O160" s="20" t="inlineStr">
        <is>
          <t>Mobile App</t>
        </is>
      </c>
    </row>
    <row r="161" ht="19" customHeight="1">
      <c r="A161" s="21" t="inlineStr">
        <is>
          <t>ORD-2025267</t>
        </is>
      </c>
      <c r="B161" s="21" t="inlineStr">
        <is>
          <t>2025-11-20</t>
        </is>
      </c>
      <c r="C161" s="21" t="inlineStr">
        <is>
          <t>PD-003-S</t>
        </is>
      </c>
      <c r="D161" s="21" t="inlineStr">
        <is>
          <t>PD-003</t>
        </is>
      </c>
      <c r="E161" s="12" t="inlineStr">
        <is>
          <t>Bordeaux Lace Midi</t>
        </is>
      </c>
      <c r="F161" s="12" t="inlineStr">
        <is>
          <t>Dresses</t>
        </is>
      </c>
      <c r="G161" s="21" t="inlineStr">
        <is>
          <t>S</t>
        </is>
      </c>
      <c r="H161" s="13" t="n">
        <v>1</v>
      </c>
      <c r="I161" s="14" t="n">
        <v>7800</v>
      </c>
      <c r="J161" s="14">
        <f>H161*I161</f>
        <v/>
      </c>
      <c r="K161" s="14" t="n">
        <v>2800</v>
      </c>
      <c r="L161" s="14">
        <f>H161*K161</f>
        <v/>
      </c>
      <c r="M161" s="14">
        <f>J161-L161</f>
        <v/>
      </c>
      <c r="N161" s="21" t="inlineStr">
        <is>
          <t>WH-DEL-03</t>
        </is>
      </c>
      <c r="O161" s="21" t="inlineStr">
        <is>
          <t>Online Store</t>
        </is>
      </c>
    </row>
    <row r="162" ht="19" customHeight="1">
      <c r="A162" s="20" t="inlineStr">
        <is>
          <t>ORD-2025162</t>
        </is>
      </c>
      <c r="B162" s="20" t="inlineStr">
        <is>
          <t>2025-11-21</t>
        </is>
      </c>
      <c r="C162" s="20" t="inlineStr">
        <is>
          <t>PD-007-XS</t>
        </is>
      </c>
      <c r="D162" s="20" t="inlineStr">
        <is>
          <t>PD-007</t>
        </is>
      </c>
      <c r="E162" s="9" t="inlineStr">
        <is>
          <t>Burgundy Trench Coat</t>
        </is>
      </c>
      <c r="F162" s="9" t="inlineStr">
        <is>
          <t>Outerwear</t>
        </is>
      </c>
      <c r="G162" s="20" t="inlineStr">
        <is>
          <t>XS</t>
        </is>
      </c>
      <c r="H162" s="10" t="n">
        <v>1</v>
      </c>
      <c r="I162" s="11" t="n">
        <v>12500</v>
      </c>
      <c r="J162" s="11">
        <f>H162*I162</f>
        <v/>
      </c>
      <c r="K162" s="11" t="n">
        <v>4800</v>
      </c>
      <c r="L162" s="11">
        <f>H162*K162</f>
        <v/>
      </c>
      <c r="M162" s="11">
        <f>J162-L162</f>
        <v/>
      </c>
      <c r="N162" s="20" t="inlineStr">
        <is>
          <t>WH-HYD-01</t>
        </is>
      </c>
      <c r="O162" s="20" t="inlineStr">
        <is>
          <t>Retail Store</t>
        </is>
      </c>
    </row>
    <row r="163" ht="19" customHeight="1">
      <c r="A163" s="21" t="inlineStr">
        <is>
          <t>ORD-2025127</t>
        </is>
      </c>
      <c r="B163" s="21" t="inlineStr">
        <is>
          <t>2025-11-23</t>
        </is>
      </c>
      <c r="C163" s="21" t="inlineStr">
        <is>
          <t>PD-010-XL</t>
        </is>
      </c>
      <c r="D163" s="21" t="inlineStr">
        <is>
          <t>PD-010</t>
        </is>
      </c>
      <c r="E163" s="12" t="inlineStr">
        <is>
          <t>Noir Tailored Blazer</t>
        </is>
      </c>
      <c r="F163" s="12" t="inlineStr">
        <is>
          <t>Outerwear</t>
        </is>
      </c>
      <c r="G163" s="21" t="inlineStr">
        <is>
          <t>XL</t>
        </is>
      </c>
      <c r="H163" s="13" t="n">
        <v>3</v>
      </c>
      <c r="I163" s="14" t="n">
        <v>11000</v>
      </c>
      <c r="J163" s="14">
        <f>H163*I163</f>
        <v/>
      </c>
      <c r="K163" s="14" t="n">
        <v>4200</v>
      </c>
      <c r="L163" s="14">
        <f>H163*K163</f>
        <v/>
      </c>
      <c r="M163" s="14">
        <f>J163-L163</f>
        <v/>
      </c>
      <c r="N163" s="21" t="inlineStr">
        <is>
          <t>WH-HYD-01</t>
        </is>
      </c>
      <c r="O163" s="21" t="inlineStr">
        <is>
          <t>Mobile App</t>
        </is>
      </c>
    </row>
    <row r="164" ht="19" customHeight="1">
      <c r="A164" s="20" t="inlineStr">
        <is>
          <t>ORD-2025326</t>
        </is>
      </c>
      <c r="B164" s="20" t="inlineStr">
        <is>
          <t>2025-11-23</t>
        </is>
      </c>
      <c r="C164" s="20" t="inlineStr">
        <is>
          <t>PD-003-M</t>
        </is>
      </c>
      <c r="D164" s="20" t="inlineStr">
        <is>
          <t>PD-003</t>
        </is>
      </c>
      <c r="E164" s="9" t="inlineStr">
        <is>
          <t>Bordeaux Lace Midi</t>
        </is>
      </c>
      <c r="F164" s="9" t="inlineStr">
        <is>
          <t>Dresses</t>
        </is>
      </c>
      <c r="G164" s="20" t="inlineStr">
        <is>
          <t>M</t>
        </is>
      </c>
      <c r="H164" s="10" t="n">
        <v>2</v>
      </c>
      <c r="I164" s="11" t="n">
        <v>7800</v>
      </c>
      <c r="J164" s="11">
        <f>H164*I164</f>
        <v/>
      </c>
      <c r="K164" s="11" t="n">
        <v>2800</v>
      </c>
      <c r="L164" s="11">
        <f>H164*K164</f>
        <v/>
      </c>
      <c r="M164" s="11">
        <f>J164-L164</f>
        <v/>
      </c>
      <c r="N164" s="20" t="inlineStr">
        <is>
          <t>WH-DEL-03</t>
        </is>
      </c>
      <c r="O164" s="20" t="inlineStr">
        <is>
          <t>Online Store</t>
        </is>
      </c>
    </row>
    <row r="165" ht="19" customHeight="1">
      <c r="A165" s="21" t="inlineStr">
        <is>
          <t>ORD-2025015</t>
        </is>
      </c>
      <c r="B165" s="21" t="inlineStr">
        <is>
          <t>2025-11-27</t>
        </is>
      </c>
      <c r="C165" s="21" t="inlineStr">
        <is>
          <t>PD-007-L</t>
        </is>
      </c>
      <c r="D165" s="21" t="inlineStr">
        <is>
          <t>PD-007</t>
        </is>
      </c>
      <c r="E165" s="12" t="inlineStr">
        <is>
          <t>Burgundy Trench Coat</t>
        </is>
      </c>
      <c r="F165" s="12" t="inlineStr">
        <is>
          <t>Outerwear</t>
        </is>
      </c>
      <c r="G165" s="21" t="inlineStr">
        <is>
          <t>L</t>
        </is>
      </c>
      <c r="H165" s="13" t="n">
        <v>5</v>
      </c>
      <c r="I165" s="14" t="n">
        <v>12500</v>
      </c>
      <c r="J165" s="14">
        <f>H165*I165</f>
        <v/>
      </c>
      <c r="K165" s="14" t="n">
        <v>4800</v>
      </c>
      <c r="L165" s="14">
        <f>H165*K165</f>
        <v/>
      </c>
      <c r="M165" s="14">
        <f>J165-L165</f>
        <v/>
      </c>
      <c r="N165" s="21" t="inlineStr">
        <is>
          <t>WH-BLR-02</t>
        </is>
      </c>
      <c r="O165" s="21" t="inlineStr">
        <is>
          <t>Online Store</t>
        </is>
      </c>
    </row>
    <row r="166" ht="19" customHeight="1">
      <c r="A166" s="20" t="inlineStr">
        <is>
          <t>ORD-2025049</t>
        </is>
      </c>
      <c r="B166" s="20" t="inlineStr">
        <is>
          <t>2025-11-27</t>
        </is>
      </c>
      <c r="C166" s="20" t="inlineStr">
        <is>
          <t>PD-002-L</t>
        </is>
      </c>
      <c r="D166" s="20" t="inlineStr">
        <is>
          <t>PD-002</t>
        </is>
      </c>
      <c r="E166" s="9" t="inlineStr">
        <is>
          <t>Merlot Satin Slip Dress</t>
        </is>
      </c>
      <c r="F166" s="9" t="inlineStr">
        <is>
          <t>Dresses</t>
        </is>
      </c>
      <c r="G166" s="20" t="inlineStr">
        <is>
          <t>L</t>
        </is>
      </c>
      <c r="H166" s="10" t="n">
        <v>3</v>
      </c>
      <c r="I166" s="11" t="n">
        <v>6200</v>
      </c>
      <c r="J166" s="11">
        <f>H166*I166</f>
        <v/>
      </c>
      <c r="K166" s="11" t="n">
        <v>2100</v>
      </c>
      <c r="L166" s="11">
        <f>H166*K166</f>
        <v/>
      </c>
      <c r="M166" s="11">
        <f>J166-L166</f>
        <v/>
      </c>
      <c r="N166" s="20" t="inlineStr">
        <is>
          <t>WH-HYD-01</t>
        </is>
      </c>
      <c r="O166" s="20" t="inlineStr">
        <is>
          <t>Online Store</t>
        </is>
      </c>
    </row>
    <row r="167" ht="19" customHeight="1">
      <c r="A167" s="21" t="inlineStr">
        <is>
          <t>ORD-2025175</t>
        </is>
      </c>
      <c r="B167" s="21" t="inlineStr">
        <is>
          <t>2025-11-27</t>
        </is>
      </c>
      <c r="C167" s="21" t="inlineStr">
        <is>
          <t>PD-009-XS</t>
        </is>
      </c>
      <c r="D167" s="21" t="inlineStr">
        <is>
          <t>PD-009</t>
        </is>
      </c>
      <c r="E167" s="12" t="inlineStr">
        <is>
          <t>Syrah Pleated Maxi Skirt</t>
        </is>
      </c>
      <c r="F167" s="12" t="inlineStr">
        <is>
          <t>Skirts</t>
        </is>
      </c>
      <c r="G167" s="21" t="inlineStr">
        <is>
          <t>XS</t>
        </is>
      </c>
      <c r="H167" s="13" t="n">
        <v>5</v>
      </c>
      <c r="I167" s="14" t="n">
        <v>5400</v>
      </c>
      <c r="J167" s="14">
        <f>H167*I167</f>
        <v/>
      </c>
      <c r="K167" s="14" t="n">
        <v>1900</v>
      </c>
      <c r="L167" s="14">
        <f>H167*K167</f>
        <v/>
      </c>
      <c r="M167" s="14">
        <f>J167-L167</f>
        <v/>
      </c>
      <c r="N167" s="21" t="inlineStr">
        <is>
          <t>WH-DEL-03</t>
        </is>
      </c>
      <c r="O167" s="21" t="inlineStr">
        <is>
          <t>Online Store</t>
        </is>
      </c>
    </row>
    <row r="168" ht="19" customHeight="1">
      <c r="A168" s="20" t="inlineStr">
        <is>
          <t>ORD-2025216</t>
        </is>
      </c>
      <c r="B168" s="20" t="inlineStr">
        <is>
          <t>2025-11-27</t>
        </is>
      </c>
      <c r="C168" s="20" t="inlineStr">
        <is>
          <t>PD-005-S</t>
        </is>
      </c>
      <c r="D168" s="20" t="inlineStr">
        <is>
          <t>PD-005</t>
        </is>
      </c>
      <c r="E168" s="9" t="inlineStr">
        <is>
          <t>Shiraz Wrap Evening Dress</t>
        </is>
      </c>
      <c r="F168" s="9" t="inlineStr">
        <is>
          <t>Dresses</t>
        </is>
      </c>
      <c r="G168" s="20" t="inlineStr">
        <is>
          <t>S</t>
        </is>
      </c>
      <c r="H168" s="10" t="n">
        <v>5</v>
      </c>
      <c r="I168" s="11" t="n">
        <v>9200</v>
      </c>
      <c r="J168" s="11">
        <f>H168*I168</f>
        <v/>
      </c>
      <c r="K168" s="11" t="n">
        <v>3500</v>
      </c>
      <c r="L168" s="11">
        <f>H168*K168</f>
        <v/>
      </c>
      <c r="M168" s="11">
        <f>J168-L168</f>
        <v/>
      </c>
      <c r="N168" s="20" t="inlineStr">
        <is>
          <t>WH-DEL-03</t>
        </is>
      </c>
      <c r="O168" s="20" t="inlineStr">
        <is>
          <t>Retail Store</t>
        </is>
      </c>
    </row>
    <row r="169" ht="19" customHeight="1">
      <c r="A169" s="21" t="inlineStr">
        <is>
          <t>ORD-2025398</t>
        </is>
      </c>
      <c r="B169" s="21" t="inlineStr">
        <is>
          <t>2025-11-28</t>
        </is>
      </c>
      <c r="C169" s="21" t="inlineStr">
        <is>
          <t>PD-002-XS</t>
        </is>
      </c>
      <c r="D169" s="21" t="inlineStr">
        <is>
          <t>PD-002</t>
        </is>
      </c>
      <c r="E169" s="12" t="inlineStr">
        <is>
          <t>Merlot Satin Slip Dress</t>
        </is>
      </c>
      <c r="F169" s="12" t="inlineStr">
        <is>
          <t>Dresses</t>
        </is>
      </c>
      <c r="G169" s="21" t="inlineStr">
        <is>
          <t>XS</t>
        </is>
      </c>
      <c r="H169" s="13" t="n">
        <v>4</v>
      </c>
      <c r="I169" s="14" t="n">
        <v>6200</v>
      </c>
      <c r="J169" s="14">
        <f>H169*I169</f>
        <v/>
      </c>
      <c r="K169" s="14" t="n">
        <v>2100</v>
      </c>
      <c r="L169" s="14">
        <f>H169*K169</f>
        <v/>
      </c>
      <c r="M169" s="14">
        <f>J169-L169</f>
        <v/>
      </c>
      <c r="N169" s="21" t="inlineStr">
        <is>
          <t>WH-HYD-01</t>
        </is>
      </c>
      <c r="O169" s="21" t="inlineStr">
        <is>
          <t>Retail Store</t>
        </is>
      </c>
    </row>
    <row r="170" ht="19" customHeight="1">
      <c r="A170" s="20" t="inlineStr">
        <is>
          <t>ORD-2025447</t>
        </is>
      </c>
      <c r="B170" s="20" t="inlineStr">
        <is>
          <t>2025-11-28</t>
        </is>
      </c>
      <c r="C170" s="20" t="inlineStr">
        <is>
          <t>PD-006-L</t>
        </is>
      </c>
      <c r="D170" s="20" t="inlineStr">
        <is>
          <t>PD-006</t>
        </is>
      </c>
      <c r="E170" s="9" t="inlineStr">
        <is>
          <t>Chiffon Crimson Blouse</t>
        </is>
      </c>
      <c r="F170" s="9" t="inlineStr">
        <is>
          <t>Tops</t>
        </is>
      </c>
      <c r="G170" s="20" t="inlineStr">
        <is>
          <t>L</t>
        </is>
      </c>
      <c r="H170" s="10" t="n">
        <v>2</v>
      </c>
      <c r="I170" s="11" t="n">
        <v>3200</v>
      </c>
      <c r="J170" s="11">
        <f>H170*I170</f>
        <v/>
      </c>
      <c r="K170" s="11" t="n">
        <v>1100</v>
      </c>
      <c r="L170" s="11">
        <f>H170*K170</f>
        <v/>
      </c>
      <c r="M170" s="11">
        <f>J170-L170</f>
        <v/>
      </c>
      <c r="N170" s="20" t="inlineStr">
        <is>
          <t>WH-HYD-01</t>
        </is>
      </c>
      <c r="O170" s="20" t="inlineStr">
        <is>
          <t>Online Store</t>
        </is>
      </c>
    </row>
    <row r="171" ht="19" customHeight="1">
      <c r="A171" s="21" t="inlineStr">
        <is>
          <t>ORD-2025152</t>
        </is>
      </c>
      <c r="B171" s="21" t="inlineStr">
        <is>
          <t>2025-11-30</t>
        </is>
      </c>
      <c r="C171" s="21" t="inlineStr">
        <is>
          <t>PD-004-XL</t>
        </is>
      </c>
      <c r="D171" s="21" t="inlineStr">
        <is>
          <t>PD-004</t>
        </is>
      </c>
      <c r="E171" s="12" t="inlineStr">
        <is>
          <t>Rosé Off-Shoulder Mini</t>
        </is>
      </c>
      <c r="F171" s="12" t="inlineStr">
        <is>
          <t>Dresses</t>
        </is>
      </c>
      <c r="G171" s="21" t="inlineStr">
        <is>
          <t>XL</t>
        </is>
      </c>
      <c r="H171" s="13" t="n">
        <v>3</v>
      </c>
      <c r="I171" s="14" t="n">
        <v>4900</v>
      </c>
      <c r="J171" s="14">
        <f>H171*I171</f>
        <v/>
      </c>
      <c r="K171" s="14" t="n">
        <v>1800</v>
      </c>
      <c r="L171" s="14">
        <f>H171*K171</f>
        <v/>
      </c>
      <c r="M171" s="14">
        <f>J171-L171</f>
        <v/>
      </c>
      <c r="N171" s="21" t="inlineStr">
        <is>
          <t>WH-HYD-01</t>
        </is>
      </c>
      <c r="O171" s="21" t="inlineStr">
        <is>
          <t>Online Store</t>
        </is>
      </c>
    </row>
    <row r="172" ht="19" customHeight="1">
      <c r="A172" s="20" t="inlineStr">
        <is>
          <t>ORD-2025114</t>
        </is>
      </c>
      <c r="B172" s="20" t="inlineStr">
        <is>
          <t>2025-12-01</t>
        </is>
      </c>
      <c r="C172" s="20" t="inlineStr">
        <is>
          <t>PD-006-M</t>
        </is>
      </c>
      <c r="D172" s="20" t="inlineStr">
        <is>
          <t>PD-006</t>
        </is>
      </c>
      <c r="E172" s="9" t="inlineStr">
        <is>
          <t>Chiffon Crimson Blouse</t>
        </is>
      </c>
      <c r="F172" s="9" t="inlineStr">
        <is>
          <t>Tops</t>
        </is>
      </c>
      <c r="G172" s="20" t="inlineStr">
        <is>
          <t>M</t>
        </is>
      </c>
      <c r="H172" s="10" t="n">
        <v>4</v>
      </c>
      <c r="I172" s="11" t="n">
        <v>3200</v>
      </c>
      <c r="J172" s="11">
        <f>H172*I172</f>
        <v/>
      </c>
      <c r="K172" s="11" t="n">
        <v>1100</v>
      </c>
      <c r="L172" s="11">
        <f>H172*K172</f>
        <v/>
      </c>
      <c r="M172" s="11">
        <f>J172-L172</f>
        <v/>
      </c>
      <c r="N172" s="20" t="inlineStr">
        <is>
          <t>WH-HYD-01</t>
        </is>
      </c>
      <c r="O172" s="20" t="inlineStr">
        <is>
          <t>Retail Store</t>
        </is>
      </c>
    </row>
    <row r="173" ht="19" customHeight="1">
      <c r="A173" s="21" t="inlineStr">
        <is>
          <t>ORD-2025404</t>
        </is>
      </c>
      <c r="B173" s="21" t="inlineStr">
        <is>
          <t>2025-12-02</t>
        </is>
      </c>
      <c r="C173" s="21" t="inlineStr">
        <is>
          <t>PD-009-XS</t>
        </is>
      </c>
      <c r="D173" s="21" t="inlineStr">
        <is>
          <t>PD-009</t>
        </is>
      </c>
      <c r="E173" s="12" t="inlineStr">
        <is>
          <t>Syrah Pleated Maxi Skirt</t>
        </is>
      </c>
      <c r="F173" s="12" t="inlineStr">
        <is>
          <t>Skirts</t>
        </is>
      </c>
      <c r="G173" s="21" t="inlineStr">
        <is>
          <t>XS</t>
        </is>
      </c>
      <c r="H173" s="13" t="n">
        <v>1</v>
      </c>
      <c r="I173" s="14" t="n">
        <v>5400</v>
      </c>
      <c r="J173" s="14">
        <f>H173*I173</f>
        <v/>
      </c>
      <c r="K173" s="14" t="n">
        <v>1900</v>
      </c>
      <c r="L173" s="14">
        <f>H173*K173</f>
        <v/>
      </c>
      <c r="M173" s="14">
        <f>J173-L173</f>
        <v/>
      </c>
      <c r="N173" s="21" t="inlineStr">
        <is>
          <t>WH-HYD-01</t>
        </is>
      </c>
      <c r="O173" s="21" t="inlineStr">
        <is>
          <t>Mobile App</t>
        </is>
      </c>
    </row>
    <row r="174" ht="19" customHeight="1">
      <c r="A174" s="20" t="inlineStr">
        <is>
          <t>ORD-2025433</t>
        </is>
      </c>
      <c r="B174" s="20" t="inlineStr">
        <is>
          <t>2025-12-02</t>
        </is>
      </c>
      <c r="C174" s="20" t="inlineStr">
        <is>
          <t>PD-002-L</t>
        </is>
      </c>
      <c r="D174" s="20" t="inlineStr">
        <is>
          <t>PD-002</t>
        </is>
      </c>
      <c r="E174" s="9" t="inlineStr">
        <is>
          <t>Merlot Satin Slip Dress</t>
        </is>
      </c>
      <c r="F174" s="9" t="inlineStr">
        <is>
          <t>Dresses</t>
        </is>
      </c>
      <c r="G174" s="20" t="inlineStr">
        <is>
          <t>L</t>
        </is>
      </c>
      <c r="H174" s="10" t="n">
        <v>3</v>
      </c>
      <c r="I174" s="11" t="n">
        <v>6200</v>
      </c>
      <c r="J174" s="11">
        <f>H174*I174</f>
        <v/>
      </c>
      <c r="K174" s="11" t="n">
        <v>2100</v>
      </c>
      <c r="L174" s="11">
        <f>H174*K174</f>
        <v/>
      </c>
      <c r="M174" s="11">
        <f>J174-L174</f>
        <v/>
      </c>
      <c r="N174" s="20" t="inlineStr">
        <is>
          <t>WH-DEL-03</t>
        </is>
      </c>
      <c r="O174" s="20" t="inlineStr">
        <is>
          <t>Mobile App</t>
        </is>
      </c>
    </row>
    <row r="175" ht="19" customHeight="1">
      <c r="A175" s="21" t="inlineStr">
        <is>
          <t>ORD-2025103</t>
        </is>
      </c>
      <c r="B175" s="21" t="inlineStr">
        <is>
          <t>2025-12-03</t>
        </is>
      </c>
      <c r="C175" s="21" t="inlineStr">
        <is>
          <t>PD-010-XL</t>
        </is>
      </c>
      <c r="D175" s="21" t="inlineStr">
        <is>
          <t>PD-010</t>
        </is>
      </c>
      <c r="E175" s="12" t="inlineStr">
        <is>
          <t>Noir Tailored Blazer</t>
        </is>
      </c>
      <c r="F175" s="12" t="inlineStr">
        <is>
          <t>Outerwear</t>
        </is>
      </c>
      <c r="G175" s="21" t="inlineStr">
        <is>
          <t>XL</t>
        </is>
      </c>
      <c r="H175" s="13" t="n">
        <v>5</v>
      </c>
      <c r="I175" s="14" t="n">
        <v>11000</v>
      </c>
      <c r="J175" s="14">
        <f>H175*I175</f>
        <v/>
      </c>
      <c r="K175" s="14" t="n">
        <v>4200</v>
      </c>
      <c r="L175" s="14">
        <f>H175*K175</f>
        <v/>
      </c>
      <c r="M175" s="14">
        <f>J175-L175</f>
        <v/>
      </c>
      <c r="N175" s="21" t="inlineStr">
        <is>
          <t>WH-BLR-02</t>
        </is>
      </c>
      <c r="O175" s="21" t="inlineStr">
        <is>
          <t>Mobile App</t>
        </is>
      </c>
    </row>
    <row r="176" ht="19" customHeight="1">
      <c r="A176" s="20" t="inlineStr">
        <is>
          <t>ORD-2025030</t>
        </is>
      </c>
      <c r="B176" s="20" t="inlineStr">
        <is>
          <t>2025-12-04</t>
        </is>
      </c>
      <c r="C176" s="20" t="inlineStr">
        <is>
          <t>PD-006-XL</t>
        </is>
      </c>
      <c r="D176" s="20" t="inlineStr">
        <is>
          <t>PD-006</t>
        </is>
      </c>
      <c r="E176" s="9" t="inlineStr">
        <is>
          <t>Chiffon Crimson Blouse</t>
        </is>
      </c>
      <c r="F176" s="9" t="inlineStr">
        <is>
          <t>Tops</t>
        </is>
      </c>
      <c r="G176" s="20" t="inlineStr">
        <is>
          <t>XL</t>
        </is>
      </c>
      <c r="H176" s="10" t="n">
        <v>2</v>
      </c>
      <c r="I176" s="11" t="n">
        <v>3200</v>
      </c>
      <c r="J176" s="11">
        <f>H176*I176</f>
        <v/>
      </c>
      <c r="K176" s="11" t="n">
        <v>1100</v>
      </c>
      <c r="L176" s="11">
        <f>H176*K176</f>
        <v/>
      </c>
      <c r="M176" s="11">
        <f>J176-L176</f>
        <v/>
      </c>
      <c r="N176" s="20" t="inlineStr">
        <is>
          <t>WH-HYD-01</t>
        </is>
      </c>
      <c r="O176" s="20" t="inlineStr">
        <is>
          <t>Retail Store</t>
        </is>
      </c>
    </row>
    <row r="177" ht="19" customHeight="1">
      <c r="A177" s="21" t="inlineStr">
        <is>
          <t>ORD-2025072</t>
        </is>
      </c>
      <c r="B177" s="21" t="inlineStr">
        <is>
          <t>2025-12-04</t>
        </is>
      </c>
      <c r="C177" s="21" t="inlineStr">
        <is>
          <t>PD-001-XL</t>
        </is>
      </c>
      <c r="D177" s="21" t="inlineStr">
        <is>
          <t>PD-001</t>
        </is>
      </c>
      <c r="E177" s="12" t="inlineStr">
        <is>
          <t>Cabernet Velvet Gown</t>
        </is>
      </c>
      <c r="F177" s="12" t="inlineStr">
        <is>
          <t>Dresses</t>
        </is>
      </c>
      <c r="G177" s="21" t="inlineStr">
        <is>
          <t>XL</t>
        </is>
      </c>
      <c r="H177" s="13" t="n">
        <v>3</v>
      </c>
      <c r="I177" s="14" t="n">
        <v>8500</v>
      </c>
      <c r="J177" s="14">
        <f>H177*I177</f>
        <v/>
      </c>
      <c r="K177" s="14" t="n">
        <v>3200</v>
      </c>
      <c r="L177" s="14">
        <f>H177*K177</f>
        <v/>
      </c>
      <c r="M177" s="14">
        <f>J177-L177</f>
        <v/>
      </c>
      <c r="N177" s="21" t="inlineStr">
        <is>
          <t>WH-BLR-02</t>
        </is>
      </c>
      <c r="O177" s="21" t="inlineStr">
        <is>
          <t>Mobile App</t>
        </is>
      </c>
    </row>
    <row r="178" ht="19" customHeight="1">
      <c r="A178" s="20" t="inlineStr">
        <is>
          <t>ORD-2025121</t>
        </is>
      </c>
      <c r="B178" s="20" t="inlineStr">
        <is>
          <t>2025-12-04</t>
        </is>
      </c>
      <c r="C178" s="20" t="inlineStr">
        <is>
          <t>PD-010-L</t>
        </is>
      </c>
      <c r="D178" s="20" t="inlineStr">
        <is>
          <t>PD-010</t>
        </is>
      </c>
      <c r="E178" s="9" t="inlineStr">
        <is>
          <t>Noir Tailored Blazer</t>
        </is>
      </c>
      <c r="F178" s="9" t="inlineStr">
        <is>
          <t>Outerwear</t>
        </is>
      </c>
      <c r="G178" s="20" t="inlineStr">
        <is>
          <t>L</t>
        </is>
      </c>
      <c r="H178" s="10" t="n">
        <v>4</v>
      </c>
      <c r="I178" s="11" t="n">
        <v>11000</v>
      </c>
      <c r="J178" s="11">
        <f>H178*I178</f>
        <v/>
      </c>
      <c r="K178" s="11" t="n">
        <v>4200</v>
      </c>
      <c r="L178" s="11">
        <f>H178*K178</f>
        <v/>
      </c>
      <c r="M178" s="11">
        <f>J178-L178</f>
        <v/>
      </c>
      <c r="N178" s="20" t="inlineStr">
        <is>
          <t>WH-BLR-02</t>
        </is>
      </c>
      <c r="O178" s="20" t="inlineStr">
        <is>
          <t>Online Store</t>
        </is>
      </c>
    </row>
    <row r="179" ht="19" customHeight="1">
      <c r="A179" s="21" t="inlineStr">
        <is>
          <t>ORD-2025140</t>
        </is>
      </c>
      <c r="B179" s="21" t="inlineStr">
        <is>
          <t>2025-12-04</t>
        </is>
      </c>
      <c r="C179" s="21" t="inlineStr">
        <is>
          <t>PD-006-L</t>
        </is>
      </c>
      <c r="D179" s="21" t="inlineStr">
        <is>
          <t>PD-006</t>
        </is>
      </c>
      <c r="E179" s="12" t="inlineStr">
        <is>
          <t>Chiffon Crimson Blouse</t>
        </is>
      </c>
      <c r="F179" s="12" t="inlineStr">
        <is>
          <t>Tops</t>
        </is>
      </c>
      <c r="G179" s="21" t="inlineStr">
        <is>
          <t>L</t>
        </is>
      </c>
      <c r="H179" s="13" t="n">
        <v>2</v>
      </c>
      <c r="I179" s="14" t="n">
        <v>3200</v>
      </c>
      <c r="J179" s="14">
        <f>H179*I179</f>
        <v/>
      </c>
      <c r="K179" s="14" t="n">
        <v>1100</v>
      </c>
      <c r="L179" s="14">
        <f>H179*K179</f>
        <v/>
      </c>
      <c r="M179" s="14">
        <f>J179-L179</f>
        <v/>
      </c>
      <c r="N179" s="21" t="inlineStr">
        <is>
          <t>WH-BLR-02</t>
        </is>
      </c>
      <c r="O179" s="21" t="inlineStr">
        <is>
          <t>Mobile App</t>
        </is>
      </c>
    </row>
    <row r="180" ht="19" customHeight="1">
      <c r="A180" s="20" t="inlineStr">
        <is>
          <t>ORD-2025186</t>
        </is>
      </c>
      <c r="B180" s="20" t="inlineStr">
        <is>
          <t>2025-12-04</t>
        </is>
      </c>
      <c r="C180" s="20" t="inlineStr">
        <is>
          <t>PD-003-S</t>
        </is>
      </c>
      <c r="D180" s="20" t="inlineStr">
        <is>
          <t>PD-003</t>
        </is>
      </c>
      <c r="E180" s="9" t="inlineStr">
        <is>
          <t>Bordeaux Lace Midi</t>
        </is>
      </c>
      <c r="F180" s="9" t="inlineStr">
        <is>
          <t>Dresses</t>
        </is>
      </c>
      <c r="G180" s="20" t="inlineStr">
        <is>
          <t>S</t>
        </is>
      </c>
      <c r="H180" s="10" t="n">
        <v>5</v>
      </c>
      <c r="I180" s="11" t="n">
        <v>7800</v>
      </c>
      <c r="J180" s="11">
        <f>H180*I180</f>
        <v/>
      </c>
      <c r="K180" s="11" t="n">
        <v>2800</v>
      </c>
      <c r="L180" s="11">
        <f>H180*K180</f>
        <v/>
      </c>
      <c r="M180" s="11">
        <f>J180-L180</f>
        <v/>
      </c>
      <c r="N180" s="20" t="inlineStr">
        <is>
          <t>WH-BLR-02</t>
        </is>
      </c>
      <c r="O180" s="20" t="inlineStr">
        <is>
          <t>Mobile App</t>
        </is>
      </c>
    </row>
    <row r="181" ht="19" customHeight="1">
      <c r="A181" s="21" t="inlineStr">
        <is>
          <t>ORD-2025156</t>
        </is>
      </c>
      <c r="B181" s="21" t="inlineStr">
        <is>
          <t>2025-12-06</t>
        </is>
      </c>
      <c r="C181" s="21" t="inlineStr">
        <is>
          <t>PD-002-S</t>
        </is>
      </c>
      <c r="D181" s="21" t="inlineStr">
        <is>
          <t>PD-002</t>
        </is>
      </c>
      <c r="E181" s="12" t="inlineStr">
        <is>
          <t>Merlot Satin Slip Dress</t>
        </is>
      </c>
      <c r="F181" s="12" t="inlineStr">
        <is>
          <t>Dresses</t>
        </is>
      </c>
      <c r="G181" s="21" t="inlineStr">
        <is>
          <t>S</t>
        </is>
      </c>
      <c r="H181" s="13" t="n">
        <v>2</v>
      </c>
      <c r="I181" s="14" t="n">
        <v>6200</v>
      </c>
      <c r="J181" s="14">
        <f>H181*I181</f>
        <v/>
      </c>
      <c r="K181" s="14" t="n">
        <v>2100</v>
      </c>
      <c r="L181" s="14">
        <f>H181*K181</f>
        <v/>
      </c>
      <c r="M181" s="14">
        <f>J181-L181</f>
        <v/>
      </c>
      <c r="N181" s="21" t="inlineStr">
        <is>
          <t>WH-BLR-02</t>
        </is>
      </c>
      <c r="O181" s="21" t="inlineStr">
        <is>
          <t>Online Store</t>
        </is>
      </c>
    </row>
    <row r="182" ht="19" customHeight="1">
      <c r="A182" s="20" t="inlineStr">
        <is>
          <t>ORD-2025454</t>
        </is>
      </c>
      <c r="B182" s="20" t="inlineStr">
        <is>
          <t>2025-12-06</t>
        </is>
      </c>
      <c r="C182" s="20" t="inlineStr">
        <is>
          <t>PD-007-S</t>
        </is>
      </c>
      <c r="D182" s="20" t="inlineStr">
        <is>
          <t>PD-007</t>
        </is>
      </c>
      <c r="E182" s="9" t="inlineStr">
        <is>
          <t>Burgundy Trench Coat</t>
        </is>
      </c>
      <c r="F182" s="9" t="inlineStr">
        <is>
          <t>Outerwear</t>
        </is>
      </c>
      <c r="G182" s="20" t="inlineStr">
        <is>
          <t>S</t>
        </is>
      </c>
      <c r="H182" s="10" t="n">
        <v>5</v>
      </c>
      <c r="I182" s="11" t="n">
        <v>12500</v>
      </c>
      <c r="J182" s="11">
        <f>H182*I182</f>
        <v/>
      </c>
      <c r="K182" s="11" t="n">
        <v>4800</v>
      </c>
      <c r="L182" s="11">
        <f>H182*K182</f>
        <v/>
      </c>
      <c r="M182" s="11">
        <f>J182-L182</f>
        <v/>
      </c>
      <c r="N182" s="20" t="inlineStr">
        <is>
          <t>WH-DEL-03</t>
        </is>
      </c>
      <c r="O182" s="20" t="inlineStr">
        <is>
          <t>Mobile App</t>
        </is>
      </c>
    </row>
    <row r="183" ht="19" customHeight="1">
      <c r="A183" s="21" t="inlineStr">
        <is>
          <t>ORD-2025086</t>
        </is>
      </c>
      <c r="B183" s="21" t="inlineStr">
        <is>
          <t>2025-12-08</t>
        </is>
      </c>
      <c r="C183" s="21" t="inlineStr">
        <is>
          <t>PD-003-L</t>
        </is>
      </c>
      <c r="D183" s="21" t="inlineStr">
        <is>
          <t>PD-003</t>
        </is>
      </c>
      <c r="E183" s="12" t="inlineStr">
        <is>
          <t>Bordeaux Lace Midi</t>
        </is>
      </c>
      <c r="F183" s="12" t="inlineStr">
        <is>
          <t>Dresses</t>
        </is>
      </c>
      <c r="G183" s="21" t="inlineStr">
        <is>
          <t>L</t>
        </is>
      </c>
      <c r="H183" s="13" t="n">
        <v>4</v>
      </c>
      <c r="I183" s="14" t="n">
        <v>7800</v>
      </c>
      <c r="J183" s="14">
        <f>H183*I183</f>
        <v/>
      </c>
      <c r="K183" s="14" t="n">
        <v>2800</v>
      </c>
      <c r="L183" s="14">
        <f>H183*K183</f>
        <v/>
      </c>
      <c r="M183" s="14">
        <f>J183-L183</f>
        <v/>
      </c>
      <c r="N183" s="21" t="inlineStr">
        <is>
          <t>WH-DEL-03</t>
        </is>
      </c>
      <c r="O183" s="21" t="inlineStr">
        <is>
          <t>Mobile App</t>
        </is>
      </c>
    </row>
    <row r="184" ht="19" customHeight="1">
      <c r="A184" s="20" t="inlineStr">
        <is>
          <t>ORD-2025105</t>
        </is>
      </c>
      <c r="B184" s="20" t="inlineStr">
        <is>
          <t>2025-12-08</t>
        </is>
      </c>
      <c r="C184" s="20" t="inlineStr">
        <is>
          <t>PD-004-XS</t>
        </is>
      </c>
      <c r="D184" s="20" t="inlineStr">
        <is>
          <t>PD-004</t>
        </is>
      </c>
      <c r="E184" s="9" t="inlineStr">
        <is>
          <t>Rosé Off-Shoulder Mini</t>
        </is>
      </c>
      <c r="F184" s="9" t="inlineStr">
        <is>
          <t>Dresses</t>
        </is>
      </c>
      <c r="G184" s="20" t="inlineStr">
        <is>
          <t>XS</t>
        </is>
      </c>
      <c r="H184" s="10" t="n">
        <v>3</v>
      </c>
      <c r="I184" s="11" t="n">
        <v>4900</v>
      </c>
      <c r="J184" s="11">
        <f>H184*I184</f>
        <v/>
      </c>
      <c r="K184" s="11" t="n">
        <v>1800</v>
      </c>
      <c r="L184" s="11">
        <f>H184*K184</f>
        <v/>
      </c>
      <c r="M184" s="11">
        <f>J184-L184</f>
        <v/>
      </c>
      <c r="N184" s="20" t="inlineStr">
        <is>
          <t>WH-BLR-02</t>
        </is>
      </c>
      <c r="O184" s="20" t="inlineStr">
        <is>
          <t>Retail Store</t>
        </is>
      </c>
    </row>
    <row r="185" ht="19" customHeight="1">
      <c r="A185" s="21" t="inlineStr">
        <is>
          <t>ORD-2025334</t>
        </is>
      </c>
      <c r="B185" s="21" t="inlineStr">
        <is>
          <t>2025-12-08</t>
        </is>
      </c>
      <c r="C185" s="21" t="inlineStr">
        <is>
          <t>PD-001-XL</t>
        </is>
      </c>
      <c r="D185" s="21" t="inlineStr">
        <is>
          <t>PD-001</t>
        </is>
      </c>
      <c r="E185" s="12" t="inlineStr">
        <is>
          <t>Cabernet Velvet Gown</t>
        </is>
      </c>
      <c r="F185" s="12" t="inlineStr">
        <is>
          <t>Dresses</t>
        </is>
      </c>
      <c r="G185" s="21" t="inlineStr">
        <is>
          <t>XL</t>
        </is>
      </c>
      <c r="H185" s="13" t="n">
        <v>1</v>
      </c>
      <c r="I185" s="14" t="n">
        <v>8500</v>
      </c>
      <c r="J185" s="14">
        <f>H185*I185</f>
        <v/>
      </c>
      <c r="K185" s="14" t="n">
        <v>3200</v>
      </c>
      <c r="L185" s="14">
        <f>H185*K185</f>
        <v/>
      </c>
      <c r="M185" s="14">
        <f>J185-L185</f>
        <v/>
      </c>
      <c r="N185" s="21" t="inlineStr">
        <is>
          <t>WH-DEL-03</t>
        </is>
      </c>
      <c r="O185" s="21" t="inlineStr">
        <is>
          <t>Mobile App</t>
        </is>
      </c>
    </row>
    <row r="186" ht="19" customHeight="1">
      <c r="A186" s="20" t="inlineStr">
        <is>
          <t>ORD-2025179</t>
        </is>
      </c>
      <c r="B186" s="20" t="inlineStr">
        <is>
          <t>2025-12-09</t>
        </is>
      </c>
      <c r="C186" s="20" t="inlineStr">
        <is>
          <t>PD-006-L</t>
        </is>
      </c>
      <c r="D186" s="20" t="inlineStr">
        <is>
          <t>PD-006</t>
        </is>
      </c>
      <c r="E186" s="9" t="inlineStr">
        <is>
          <t>Chiffon Crimson Blouse</t>
        </is>
      </c>
      <c r="F186" s="9" t="inlineStr">
        <is>
          <t>Tops</t>
        </is>
      </c>
      <c r="G186" s="20" t="inlineStr">
        <is>
          <t>L</t>
        </is>
      </c>
      <c r="H186" s="10" t="n">
        <v>1</v>
      </c>
      <c r="I186" s="11" t="n">
        <v>3200</v>
      </c>
      <c r="J186" s="11">
        <f>H186*I186</f>
        <v/>
      </c>
      <c r="K186" s="11" t="n">
        <v>1100</v>
      </c>
      <c r="L186" s="11">
        <f>H186*K186</f>
        <v/>
      </c>
      <c r="M186" s="11">
        <f>J186-L186</f>
        <v/>
      </c>
      <c r="N186" s="20" t="inlineStr">
        <is>
          <t>WH-BLR-02</t>
        </is>
      </c>
      <c r="O186" s="20" t="inlineStr">
        <is>
          <t>Mobile App</t>
        </is>
      </c>
    </row>
    <row r="187" ht="19" customHeight="1">
      <c r="A187" s="21" t="inlineStr">
        <is>
          <t>ORD-2025196</t>
        </is>
      </c>
      <c r="B187" s="21" t="inlineStr">
        <is>
          <t>2025-12-09</t>
        </is>
      </c>
      <c r="C187" s="21" t="inlineStr">
        <is>
          <t>PD-006-L</t>
        </is>
      </c>
      <c r="D187" s="21" t="inlineStr">
        <is>
          <t>PD-006</t>
        </is>
      </c>
      <c r="E187" s="12" t="inlineStr">
        <is>
          <t>Chiffon Crimson Blouse</t>
        </is>
      </c>
      <c r="F187" s="12" t="inlineStr">
        <is>
          <t>Tops</t>
        </is>
      </c>
      <c r="G187" s="21" t="inlineStr">
        <is>
          <t>L</t>
        </is>
      </c>
      <c r="H187" s="13" t="n">
        <v>4</v>
      </c>
      <c r="I187" s="14" t="n">
        <v>3200</v>
      </c>
      <c r="J187" s="14">
        <f>H187*I187</f>
        <v/>
      </c>
      <c r="K187" s="14" t="n">
        <v>1100</v>
      </c>
      <c r="L187" s="14">
        <f>H187*K187</f>
        <v/>
      </c>
      <c r="M187" s="14">
        <f>J187-L187</f>
        <v/>
      </c>
      <c r="N187" s="21" t="inlineStr">
        <is>
          <t>WH-HYD-01</t>
        </is>
      </c>
      <c r="O187" s="21" t="inlineStr">
        <is>
          <t>Online Store</t>
        </is>
      </c>
    </row>
    <row r="188" ht="19" customHeight="1">
      <c r="A188" s="20" t="inlineStr">
        <is>
          <t>ORD-2025220</t>
        </is>
      </c>
      <c r="B188" s="20" t="inlineStr">
        <is>
          <t>2025-12-09</t>
        </is>
      </c>
      <c r="C188" s="20" t="inlineStr">
        <is>
          <t>PD-003-XL</t>
        </is>
      </c>
      <c r="D188" s="20" t="inlineStr">
        <is>
          <t>PD-003</t>
        </is>
      </c>
      <c r="E188" s="9" t="inlineStr">
        <is>
          <t>Bordeaux Lace Midi</t>
        </is>
      </c>
      <c r="F188" s="9" t="inlineStr">
        <is>
          <t>Dresses</t>
        </is>
      </c>
      <c r="G188" s="20" t="inlineStr">
        <is>
          <t>XL</t>
        </is>
      </c>
      <c r="H188" s="10" t="n">
        <v>1</v>
      </c>
      <c r="I188" s="11" t="n">
        <v>7800</v>
      </c>
      <c r="J188" s="11">
        <f>H188*I188</f>
        <v/>
      </c>
      <c r="K188" s="11" t="n">
        <v>2800</v>
      </c>
      <c r="L188" s="11">
        <f>H188*K188</f>
        <v/>
      </c>
      <c r="M188" s="11">
        <f>J188-L188</f>
        <v/>
      </c>
      <c r="N188" s="20" t="inlineStr">
        <is>
          <t>WH-BLR-02</t>
        </is>
      </c>
      <c r="O188" s="20" t="inlineStr">
        <is>
          <t>Online Store</t>
        </is>
      </c>
    </row>
    <row r="189" ht="19" customHeight="1">
      <c r="A189" s="21" t="inlineStr">
        <is>
          <t>ORD-2025290</t>
        </is>
      </c>
      <c r="B189" s="21" t="inlineStr">
        <is>
          <t>2025-12-09</t>
        </is>
      </c>
      <c r="C189" s="21" t="inlineStr">
        <is>
          <t>PD-008-L</t>
        </is>
      </c>
      <c r="D189" s="21" t="inlineStr">
        <is>
          <t>PD-008</t>
        </is>
      </c>
      <c r="E189" s="12" t="inlineStr">
        <is>
          <t>Tuscan Sun Silk Skirt</t>
        </is>
      </c>
      <c r="F189" s="12" t="inlineStr">
        <is>
          <t>Skirts</t>
        </is>
      </c>
      <c r="G189" s="21" t="inlineStr">
        <is>
          <t>L</t>
        </is>
      </c>
      <c r="H189" s="13" t="n">
        <v>3</v>
      </c>
      <c r="I189" s="14" t="n">
        <v>4500</v>
      </c>
      <c r="J189" s="14">
        <f>H189*I189</f>
        <v/>
      </c>
      <c r="K189" s="14" t="n">
        <v>1600</v>
      </c>
      <c r="L189" s="14">
        <f>H189*K189</f>
        <v/>
      </c>
      <c r="M189" s="14">
        <f>J189-L189</f>
        <v/>
      </c>
      <c r="N189" s="21" t="inlineStr">
        <is>
          <t>WH-BLR-02</t>
        </is>
      </c>
      <c r="O189" s="21" t="inlineStr">
        <is>
          <t>Online Store</t>
        </is>
      </c>
    </row>
    <row r="190" ht="19" customHeight="1">
      <c r="A190" s="20" t="inlineStr">
        <is>
          <t>ORD-2025459</t>
        </is>
      </c>
      <c r="B190" s="20" t="inlineStr">
        <is>
          <t>2025-12-09</t>
        </is>
      </c>
      <c r="C190" s="20" t="inlineStr">
        <is>
          <t>PD-001-XL</t>
        </is>
      </c>
      <c r="D190" s="20" t="inlineStr">
        <is>
          <t>PD-001</t>
        </is>
      </c>
      <c r="E190" s="9" t="inlineStr">
        <is>
          <t>Cabernet Velvet Gown</t>
        </is>
      </c>
      <c r="F190" s="9" t="inlineStr">
        <is>
          <t>Dresses</t>
        </is>
      </c>
      <c r="G190" s="20" t="inlineStr">
        <is>
          <t>XL</t>
        </is>
      </c>
      <c r="H190" s="10" t="n">
        <v>4</v>
      </c>
      <c r="I190" s="11" t="n">
        <v>8500</v>
      </c>
      <c r="J190" s="11">
        <f>H190*I190</f>
        <v/>
      </c>
      <c r="K190" s="11" t="n">
        <v>3200</v>
      </c>
      <c r="L190" s="11">
        <f>H190*K190</f>
        <v/>
      </c>
      <c r="M190" s="11">
        <f>J190-L190</f>
        <v/>
      </c>
      <c r="N190" s="20" t="inlineStr">
        <is>
          <t>WH-DEL-03</t>
        </is>
      </c>
      <c r="O190" s="20" t="inlineStr">
        <is>
          <t>Retail Store</t>
        </is>
      </c>
    </row>
    <row r="191" ht="19" customHeight="1">
      <c r="A191" s="21" t="inlineStr">
        <is>
          <t>ORD-2025490</t>
        </is>
      </c>
      <c r="B191" s="21" t="inlineStr">
        <is>
          <t>2025-12-09</t>
        </is>
      </c>
      <c r="C191" s="21" t="inlineStr">
        <is>
          <t>PD-010-XS</t>
        </is>
      </c>
      <c r="D191" s="21" t="inlineStr">
        <is>
          <t>PD-010</t>
        </is>
      </c>
      <c r="E191" s="12" t="inlineStr">
        <is>
          <t>Noir Tailored Blazer</t>
        </is>
      </c>
      <c r="F191" s="12" t="inlineStr">
        <is>
          <t>Outerwear</t>
        </is>
      </c>
      <c r="G191" s="21" t="inlineStr">
        <is>
          <t>XS</t>
        </is>
      </c>
      <c r="H191" s="13" t="n">
        <v>1</v>
      </c>
      <c r="I191" s="14" t="n">
        <v>11000</v>
      </c>
      <c r="J191" s="14">
        <f>H191*I191</f>
        <v/>
      </c>
      <c r="K191" s="14" t="n">
        <v>4200</v>
      </c>
      <c r="L191" s="14">
        <f>H191*K191</f>
        <v/>
      </c>
      <c r="M191" s="14">
        <f>J191-L191</f>
        <v/>
      </c>
      <c r="N191" s="21" t="inlineStr">
        <is>
          <t>WH-BLR-02</t>
        </is>
      </c>
      <c r="O191" s="21" t="inlineStr">
        <is>
          <t>Retail Store</t>
        </is>
      </c>
    </row>
    <row r="192" ht="19" customHeight="1">
      <c r="A192" s="20" t="inlineStr">
        <is>
          <t>ORD-2025499</t>
        </is>
      </c>
      <c r="B192" s="20" t="inlineStr">
        <is>
          <t>2025-12-09</t>
        </is>
      </c>
      <c r="C192" s="20" t="inlineStr">
        <is>
          <t>PD-005-XS</t>
        </is>
      </c>
      <c r="D192" s="20" t="inlineStr">
        <is>
          <t>PD-005</t>
        </is>
      </c>
      <c r="E192" s="9" t="inlineStr">
        <is>
          <t>Shiraz Wrap Evening Dress</t>
        </is>
      </c>
      <c r="F192" s="9" t="inlineStr">
        <is>
          <t>Dresses</t>
        </is>
      </c>
      <c r="G192" s="20" t="inlineStr">
        <is>
          <t>XS</t>
        </is>
      </c>
      <c r="H192" s="10" t="n">
        <v>3</v>
      </c>
      <c r="I192" s="11" t="n">
        <v>9200</v>
      </c>
      <c r="J192" s="11">
        <f>H192*I192</f>
        <v/>
      </c>
      <c r="K192" s="11" t="n">
        <v>3500</v>
      </c>
      <c r="L192" s="11">
        <f>H192*K192</f>
        <v/>
      </c>
      <c r="M192" s="11">
        <f>J192-L192</f>
        <v/>
      </c>
      <c r="N192" s="20" t="inlineStr">
        <is>
          <t>WH-DEL-03</t>
        </is>
      </c>
      <c r="O192" s="20" t="inlineStr">
        <is>
          <t>Online Store</t>
        </is>
      </c>
    </row>
    <row r="193" ht="19" customHeight="1">
      <c r="A193" s="21" t="inlineStr">
        <is>
          <t>ORD-2025440</t>
        </is>
      </c>
      <c r="B193" s="21" t="inlineStr">
        <is>
          <t>2025-12-10</t>
        </is>
      </c>
      <c r="C193" s="21" t="inlineStr">
        <is>
          <t>PD-009-S</t>
        </is>
      </c>
      <c r="D193" s="21" t="inlineStr">
        <is>
          <t>PD-009</t>
        </is>
      </c>
      <c r="E193" s="12" t="inlineStr">
        <is>
          <t>Syrah Pleated Maxi Skirt</t>
        </is>
      </c>
      <c r="F193" s="12" t="inlineStr">
        <is>
          <t>Skirts</t>
        </is>
      </c>
      <c r="G193" s="21" t="inlineStr">
        <is>
          <t>S</t>
        </is>
      </c>
      <c r="H193" s="13" t="n">
        <v>3</v>
      </c>
      <c r="I193" s="14" t="n">
        <v>5400</v>
      </c>
      <c r="J193" s="14">
        <f>H193*I193</f>
        <v/>
      </c>
      <c r="K193" s="14" t="n">
        <v>1900</v>
      </c>
      <c r="L193" s="14">
        <f>H193*K193</f>
        <v/>
      </c>
      <c r="M193" s="14">
        <f>J193-L193</f>
        <v/>
      </c>
      <c r="N193" s="21" t="inlineStr">
        <is>
          <t>WH-BLR-02</t>
        </is>
      </c>
      <c r="O193" s="21" t="inlineStr">
        <is>
          <t>Online Store</t>
        </is>
      </c>
    </row>
    <row r="194" ht="19" customHeight="1">
      <c r="A194" s="20" t="inlineStr">
        <is>
          <t>ORD-2025037</t>
        </is>
      </c>
      <c r="B194" s="20" t="inlineStr">
        <is>
          <t>2025-12-13</t>
        </is>
      </c>
      <c r="C194" s="20" t="inlineStr">
        <is>
          <t>PD-003-L</t>
        </is>
      </c>
      <c r="D194" s="20" t="inlineStr">
        <is>
          <t>PD-003</t>
        </is>
      </c>
      <c r="E194" s="9" t="inlineStr">
        <is>
          <t>Bordeaux Lace Midi</t>
        </is>
      </c>
      <c r="F194" s="9" t="inlineStr">
        <is>
          <t>Dresses</t>
        </is>
      </c>
      <c r="G194" s="20" t="inlineStr">
        <is>
          <t>L</t>
        </is>
      </c>
      <c r="H194" s="10" t="n">
        <v>1</v>
      </c>
      <c r="I194" s="11" t="n">
        <v>7800</v>
      </c>
      <c r="J194" s="11">
        <f>H194*I194</f>
        <v/>
      </c>
      <c r="K194" s="11" t="n">
        <v>2800</v>
      </c>
      <c r="L194" s="11">
        <f>H194*K194</f>
        <v/>
      </c>
      <c r="M194" s="11">
        <f>J194-L194</f>
        <v/>
      </c>
      <c r="N194" s="20" t="inlineStr">
        <is>
          <t>WH-DEL-03</t>
        </is>
      </c>
      <c r="O194" s="20" t="inlineStr">
        <is>
          <t>Mobile App</t>
        </is>
      </c>
    </row>
    <row r="195" ht="19" customHeight="1">
      <c r="A195" s="21" t="inlineStr">
        <is>
          <t>ORD-2025083</t>
        </is>
      </c>
      <c r="B195" s="21" t="inlineStr">
        <is>
          <t>2025-12-13</t>
        </is>
      </c>
      <c r="C195" s="21" t="inlineStr">
        <is>
          <t>PD-008-XS</t>
        </is>
      </c>
      <c r="D195" s="21" t="inlineStr">
        <is>
          <t>PD-008</t>
        </is>
      </c>
      <c r="E195" s="12" t="inlineStr">
        <is>
          <t>Tuscan Sun Silk Skirt</t>
        </is>
      </c>
      <c r="F195" s="12" t="inlineStr">
        <is>
          <t>Skirts</t>
        </is>
      </c>
      <c r="G195" s="21" t="inlineStr">
        <is>
          <t>XS</t>
        </is>
      </c>
      <c r="H195" s="13" t="n">
        <v>2</v>
      </c>
      <c r="I195" s="14" t="n">
        <v>4500</v>
      </c>
      <c r="J195" s="14">
        <f>H195*I195</f>
        <v/>
      </c>
      <c r="K195" s="14" t="n">
        <v>1600</v>
      </c>
      <c r="L195" s="14">
        <f>H195*K195</f>
        <v/>
      </c>
      <c r="M195" s="14">
        <f>J195-L195</f>
        <v/>
      </c>
      <c r="N195" s="21" t="inlineStr">
        <is>
          <t>WH-HYD-01</t>
        </is>
      </c>
      <c r="O195" s="21" t="inlineStr">
        <is>
          <t>Retail Store</t>
        </is>
      </c>
    </row>
    <row r="196" ht="19" customHeight="1">
      <c r="A196" s="20" t="inlineStr">
        <is>
          <t>ORD-2025354</t>
        </is>
      </c>
      <c r="B196" s="20" t="inlineStr">
        <is>
          <t>2025-12-13</t>
        </is>
      </c>
      <c r="C196" s="20" t="inlineStr">
        <is>
          <t>PD-002-S</t>
        </is>
      </c>
      <c r="D196" s="20" t="inlineStr">
        <is>
          <t>PD-002</t>
        </is>
      </c>
      <c r="E196" s="9" t="inlineStr">
        <is>
          <t>Merlot Satin Slip Dress</t>
        </is>
      </c>
      <c r="F196" s="9" t="inlineStr">
        <is>
          <t>Dresses</t>
        </is>
      </c>
      <c r="G196" s="20" t="inlineStr">
        <is>
          <t>S</t>
        </is>
      </c>
      <c r="H196" s="10" t="n">
        <v>5</v>
      </c>
      <c r="I196" s="11" t="n">
        <v>6200</v>
      </c>
      <c r="J196" s="11">
        <f>H196*I196</f>
        <v/>
      </c>
      <c r="K196" s="11" t="n">
        <v>2100</v>
      </c>
      <c r="L196" s="11">
        <f>H196*K196</f>
        <v/>
      </c>
      <c r="M196" s="11">
        <f>J196-L196</f>
        <v/>
      </c>
      <c r="N196" s="20" t="inlineStr">
        <is>
          <t>WH-DEL-03</t>
        </is>
      </c>
      <c r="O196" s="20" t="inlineStr">
        <is>
          <t>Mobile App</t>
        </is>
      </c>
    </row>
    <row r="197" ht="19" customHeight="1">
      <c r="A197" s="21" t="inlineStr">
        <is>
          <t>ORD-2025112</t>
        </is>
      </c>
      <c r="B197" s="21" t="inlineStr">
        <is>
          <t>2025-12-14</t>
        </is>
      </c>
      <c r="C197" s="21" t="inlineStr">
        <is>
          <t>PD-010-L</t>
        </is>
      </c>
      <c r="D197" s="21" t="inlineStr">
        <is>
          <t>PD-010</t>
        </is>
      </c>
      <c r="E197" s="12" t="inlineStr">
        <is>
          <t>Noir Tailored Blazer</t>
        </is>
      </c>
      <c r="F197" s="12" t="inlineStr">
        <is>
          <t>Outerwear</t>
        </is>
      </c>
      <c r="G197" s="21" t="inlineStr">
        <is>
          <t>L</t>
        </is>
      </c>
      <c r="H197" s="13" t="n">
        <v>4</v>
      </c>
      <c r="I197" s="14" t="n">
        <v>11000</v>
      </c>
      <c r="J197" s="14">
        <f>H197*I197</f>
        <v/>
      </c>
      <c r="K197" s="14" t="n">
        <v>4200</v>
      </c>
      <c r="L197" s="14">
        <f>H197*K197</f>
        <v/>
      </c>
      <c r="M197" s="14">
        <f>J197-L197</f>
        <v/>
      </c>
      <c r="N197" s="21" t="inlineStr">
        <is>
          <t>WH-BLR-02</t>
        </is>
      </c>
      <c r="O197" s="21" t="inlineStr">
        <is>
          <t>Mobile App</t>
        </is>
      </c>
    </row>
    <row r="198" ht="19" customHeight="1">
      <c r="A198" s="20" t="inlineStr">
        <is>
          <t>ORD-2025206</t>
        </is>
      </c>
      <c r="B198" s="20" t="inlineStr">
        <is>
          <t>2025-12-14</t>
        </is>
      </c>
      <c r="C198" s="20" t="inlineStr">
        <is>
          <t>PD-008-M</t>
        </is>
      </c>
      <c r="D198" s="20" t="inlineStr">
        <is>
          <t>PD-008</t>
        </is>
      </c>
      <c r="E198" s="9" t="inlineStr">
        <is>
          <t>Tuscan Sun Silk Skirt</t>
        </is>
      </c>
      <c r="F198" s="9" t="inlineStr">
        <is>
          <t>Skirts</t>
        </is>
      </c>
      <c r="G198" s="20" t="inlineStr">
        <is>
          <t>M</t>
        </is>
      </c>
      <c r="H198" s="10" t="n">
        <v>5</v>
      </c>
      <c r="I198" s="11" t="n">
        <v>4500</v>
      </c>
      <c r="J198" s="11">
        <f>H198*I198</f>
        <v/>
      </c>
      <c r="K198" s="11" t="n">
        <v>1600</v>
      </c>
      <c r="L198" s="11">
        <f>H198*K198</f>
        <v/>
      </c>
      <c r="M198" s="11">
        <f>J198-L198</f>
        <v/>
      </c>
      <c r="N198" s="20" t="inlineStr">
        <is>
          <t>WH-DEL-03</t>
        </is>
      </c>
      <c r="O198" s="20" t="inlineStr">
        <is>
          <t>Retail Store</t>
        </is>
      </c>
    </row>
    <row r="199" ht="19" customHeight="1">
      <c r="A199" s="21" t="inlineStr">
        <is>
          <t>ORD-2025231</t>
        </is>
      </c>
      <c r="B199" s="21" t="inlineStr">
        <is>
          <t>2025-12-15</t>
        </is>
      </c>
      <c r="C199" s="21" t="inlineStr">
        <is>
          <t>PD-009-XS</t>
        </is>
      </c>
      <c r="D199" s="21" t="inlineStr">
        <is>
          <t>PD-009</t>
        </is>
      </c>
      <c r="E199" s="12" t="inlineStr">
        <is>
          <t>Syrah Pleated Maxi Skirt</t>
        </is>
      </c>
      <c r="F199" s="12" t="inlineStr">
        <is>
          <t>Skirts</t>
        </is>
      </c>
      <c r="G199" s="21" t="inlineStr">
        <is>
          <t>XS</t>
        </is>
      </c>
      <c r="H199" s="13" t="n">
        <v>4</v>
      </c>
      <c r="I199" s="14" t="n">
        <v>5400</v>
      </c>
      <c r="J199" s="14">
        <f>H199*I199</f>
        <v/>
      </c>
      <c r="K199" s="14" t="n">
        <v>1900</v>
      </c>
      <c r="L199" s="14">
        <f>H199*K199</f>
        <v/>
      </c>
      <c r="M199" s="14">
        <f>J199-L199</f>
        <v/>
      </c>
      <c r="N199" s="21" t="inlineStr">
        <is>
          <t>WH-DEL-03</t>
        </is>
      </c>
      <c r="O199" s="21" t="inlineStr">
        <is>
          <t>Retail Store</t>
        </is>
      </c>
    </row>
    <row r="200" ht="19" customHeight="1">
      <c r="A200" s="20" t="inlineStr">
        <is>
          <t>ORD-2025420</t>
        </is>
      </c>
      <c r="B200" s="20" t="inlineStr">
        <is>
          <t>2025-12-15</t>
        </is>
      </c>
      <c r="C200" s="20" t="inlineStr">
        <is>
          <t>PD-003-XS</t>
        </is>
      </c>
      <c r="D200" s="20" t="inlineStr">
        <is>
          <t>PD-003</t>
        </is>
      </c>
      <c r="E200" s="9" t="inlineStr">
        <is>
          <t>Bordeaux Lace Midi</t>
        </is>
      </c>
      <c r="F200" s="9" t="inlineStr">
        <is>
          <t>Dresses</t>
        </is>
      </c>
      <c r="G200" s="20" t="inlineStr">
        <is>
          <t>XS</t>
        </is>
      </c>
      <c r="H200" s="10" t="n">
        <v>2</v>
      </c>
      <c r="I200" s="11" t="n">
        <v>7800</v>
      </c>
      <c r="J200" s="11">
        <f>H200*I200</f>
        <v/>
      </c>
      <c r="K200" s="11" t="n">
        <v>2800</v>
      </c>
      <c r="L200" s="11">
        <f>H200*K200</f>
        <v/>
      </c>
      <c r="M200" s="11">
        <f>J200-L200</f>
        <v/>
      </c>
      <c r="N200" s="20" t="inlineStr">
        <is>
          <t>WH-BLR-02</t>
        </is>
      </c>
      <c r="O200" s="20" t="inlineStr">
        <is>
          <t>Mobile App</t>
        </is>
      </c>
    </row>
    <row r="201" ht="19" customHeight="1">
      <c r="A201" s="21" t="inlineStr">
        <is>
          <t>ORD-2025085</t>
        </is>
      </c>
      <c r="B201" s="21" t="inlineStr">
        <is>
          <t>2025-12-16</t>
        </is>
      </c>
      <c r="C201" s="21" t="inlineStr">
        <is>
          <t>PD-006-XS</t>
        </is>
      </c>
      <c r="D201" s="21" t="inlineStr">
        <is>
          <t>PD-006</t>
        </is>
      </c>
      <c r="E201" s="12" t="inlineStr">
        <is>
          <t>Chiffon Crimson Blouse</t>
        </is>
      </c>
      <c r="F201" s="12" t="inlineStr">
        <is>
          <t>Tops</t>
        </is>
      </c>
      <c r="G201" s="21" t="inlineStr">
        <is>
          <t>XS</t>
        </is>
      </c>
      <c r="H201" s="13" t="n">
        <v>5</v>
      </c>
      <c r="I201" s="14" t="n">
        <v>3200</v>
      </c>
      <c r="J201" s="14">
        <f>H201*I201</f>
        <v/>
      </c>
      <c r="K201" s="14" t="n">
        <v>1100</v>
      </c>
      <c r="L201" s="14">
        <f>H201*K201</f>
        <v/>
      </c>
      <c r="M201" s="14">
        <f>J201-L201</f>
        <v/>
      </c>
      <c r="N201" s="21" t="inlineStr">
        <is>
          <t>WH-HYD-01</t>
        </is>
      </c>
      <c r="O201" s="21" t="inlineStr">
        <is>
          <t>Retail Store</t>
        </is>
      </c>
    </row>
    <row r="202" ht="19" customHeight="1">
      <c r="A202" s="20" t="inlineStr">
        <is>
          <t>ORD-2025132</t>
        </is>
      </c>
      <c r="B202" s="20" t="inlineStr">
        <is>
          <t>2025-12-16</t>
        </is>
      </c>
      <c r="C202" s="20" t="inlineStr">
        <is>
          <t>PD-009-L</t>
        </is>
      </c>
      <c r="D202" s="20" t="inlineStr">
        <is>
          <t>PD-009</t>
        </is>
      </c>
      <c r="E202" s="9" t="inlineStr">
        <is>
          <t>Syrah Pleated Maxi Skirt</t>
        </is>
      </c>
      <c r="F202" s="9" t="inlineStr">
        <is>
          <t>Skirts</t>
        </is>
      </c>
      <c r="G202" s="20" t="inlineStr">
        <is>
          <t>L</t>
        </is>
      </c>
      <c r="H202" s="10" t="n">
        <v>5</v>
      </c>
      <c r="I202" s="11" t="n">
        <v>5400</v>
      </c>
      <c r="J202" s="11">
        <f>H202*I202</f>
        <v/>
      </c>
      <c r="K202" s="11" t="n">
        <v>1900</v>
      </c>
      <c r="L202" s="11">
        <f>H202*K202</f>
        <v/>
      </c>
      <c r="M202" s="11">
        <f>J202-L202</f>
        <v/>
      </c>
      <c r="N202" s="20" t="inlineStr">
        <is>
          <t>WH-HYD-01</t>
        </is>
      </c>
      <c r="O202" s="20" t="inlineStr">
        <is>
          <t>Mobile App</t>
        </is>
      </c>
    </row>
    <row r="203" ht="19" customHeight="1">
      <c r="A203" s="21" t="inlineStr">
        <is>
          <t>ORD-2025180</t>
        </is>
      </c>
      <c r="B203" s="21" t="inlineStr">
        <is>
          <t>2025-12-17</t>
        </is>
      </c>
      <c r="C203" s="21" t="inlineStr">
        <is>
          <t>PD-009-XL</t>
        </is>
      </c>
      <c r="D203" s="21" t="inlineStr">
        <is>
          <t>PD-009</t>
        </is>
      </c>
      <c r="E203" s="12" t="inlineStr">
        <is>
          <t>Syrah Pleated Maxi Skirt</t>
        </is>
      </c>
      <c r="F203" s="12" t="inlineStr">
        <is>
          <t>Skirts</t>
        </is>
      </c>
      <c r="G203" s="21" t="inlineStr">
        <is>
          <t>XL</t>
        </is>
      </c>
      <c r="H203" s="13" t="n">
        <v>4</v>
      </c>
      <c r="I203" s="14" t="n">
        <v>5400</v>
      </c>
      <c r="J203" s="14">
        <f>H203*I203</f>
        <v/>
      </c>
      <c r="K203" s="14" t="n">
        <v>1900</v>
      </c>
      <c r="L203" s="14">
        <f>H203*K203</f>
        <v/>
      </c>
      <c r="M203" s="14">
        <f>J203-L203</f>
        <v/>
      </c>
      <c r="N203" s="21" t="inlineStr">
        <is>
          <t>WH-BLR-02</t>
        </is>
      </c>
      <c r="O203" s="21" t="inlineStr">
        <is>
          <t>Mobile App</t>
        </is>
      </c>
    </row>
    <row r="204" ht="19" customHeight="1">
      <c r="A204" s="20" t="inlineStr">
        <is>
          <t>ORD-2025401</t>
        </is>
      </c>
      <c r="B204" s="20" t="inlineStr">
        <is>
          <t>2025-12-18</t>
        </is>
      </c>
      <c r="C204" s="20" t="inlineStr">
        <is>
          <t>PD-006-L</t>
        </is>
      </c>
      <c r="D204" s="20" t="inlineStr">
        <is>
          <t>PD-006</t>
        </is>
      </c>
      <c r="E204" s="9" t="inlineStr">
        <is>
          <t>Chiffon Crimson Blouse</t>
        </is>
      </c>
      <c r="F204" s="9" t="inlineStr">
        <is>
          <t>Tops</t>
        </is>
      </c>
      <c r="G204" s="20" t="inlineStr">
        <is>
          <t>L</t>
        </is>
      </c>
      <c r="H204" s="10" t="n">
        <v>5</v>
      </c>
      <c r="I204" s="11" t="n">
        <v>3200</v>
      </c>
      <c r="J204" s="11">
        <f>H204*I204</f>
        <v/>
      </c>
      <c r="K204" s="11" t="n">
        <v>1100</v>
      </c>
      <c r="L204" s="11">
        <f>H204*K204</f>
        <v/>
      </c>
      <c r="M204" s="11">
        <f>J204-L204</f>
        <v/>
      </c>
      <c r="N204" s="20" t="inlineStr">
        <is>
          <t>WH-DEL-03</t>
        </is>
      </c>
      <c r="O204" s="20" t="inlineStr">
        <is>
          <t>Retail Store</t>
        </is>
      </c>
    </row>
    <row r="205" ht="19" customHeight="1">
      <c r="A205" s="21" t="inlineStr">
        <is>
          <t>ORD-2025012</t>
        </is>
      </c>
      <c r="B205" s="21" t="inlineStr">
        <is>
          <t>2025-12-19</t>
        </is>
      </c>
      <c r="C205" s="21" t="inlineStr">
        <is>
          <t>PD-004-XS</t>
        </is>
      </c>
      <c r="D205" s="21" t="inlineStr">
        <is>
          <t>PD-004</t>
        </is>
      </c>
      <c r="E205" s="12" t="inlineStr">
        <is>
          <t>Rosé Off-Shoulder Mini</t>
        </is>
      </c>
      <c r="F205" s="12" t="inlineStr">
        <is>
          <t>Dresses</t>
        </is>
      </c>
      <c r="G205" s="21" t="inlineStr">
        <is>
          <t>XS</t>
        </is>
      </c>
      <c r="H205" s="13" t="n">
        <v>1</v>
      </c>
      <c r="I205" s="14" t="n">
        <v>4900</v>
      </c>
      <c r="J205" s="14">
        <f>H205*I205</f>
        <v/>
      </c>
      <c r="K205" s="14" t="n">
        <v>1800</v>
      </c>
      <c r="L205" s="14">
        <f>H205*K205</f>
        <v/>
      </c>
      <c r="M205" s="14">
        <f>J205-L205</f>
        <v/>
      </c>
      <c r="N205" s="21" t="inlineStr">
        <is>
          <t>WH-HYD-01</t>
        </is>
      </c>
      <c r="O205" s="21" t="inlineStr">
        <is>
          <t>Mobile App</t>
        </is>
      </c>
    </row>
    <row r="206" ht="19" customHeight="1">
      <c r="A206" s="20" t="inlineStr">
        <is>
          <t>ORD-2025309</t>
        </is>
      </c>
      <c r="B206" s="20" t="inlineStr">
        <is>
          <t>2025-12-19</t>
        </is>
      </c>
      <c r="C206" s="20" t="inlineStr">
        <is>
          <t>PD-001-M</t>
        </is>
      </c>
      <c r="D206" s="20" t="inlineStr">
        <is>
          <t>PD-001</t>
        </is>
      </c>
      <c r="E206" s="9" t="inlineStr">
        <is>
          <t>Cabernet Velvet Gown</t>
        </is>
      </c>
      <c r="F206" s="9" t="inlineStr">
        <is>
          <t>Dresses</t>
        </is>
      </c>
      <c r="G206" s="20" t="inlineStr">
        <is>
          <t>M</t>
        </is>
      </c>
      <c r="H206" s="10" t="n">
        <v>2</v>
      </c>
      <c r="I206" s="11" t="n">
        <v>8500</v>
      </c>
      <c r="J206" s="11">
        <f>H206*I206</f>
        <v/>
      </c>
      <c r="K206" s="11" t="n">
        <v>3200</v>
      </c>
      <c r="L206" s="11">
        <f>H206*K206</f>
        <v/>
      </c>
      <c r="M206" s="11">
        <f>J206-L206</f>
        <v/>
      </c>
      <c r="N206" s="20" t="inlineStr">
        <is>
          <t>WH-BLR-02</t>
        </is>
      </c>
      <c r="O206" s="20" t="inlineStr">
        <is>
          <t>Mobile App</t>
        </is>
      </c>
    </row>
    <row r="207" ht="19" customHeight="1">
      <c r="A207" s="21" t="inlineStr">
        <is>
          <t>ORD-2025352</t>
        </is>
      </c>
      <c r="B207" s="21" t="inlineStr">
        <is>
          <t>2025-12-20</t>
        </is>
      </c>
      <c r="C207" s="21" t="inlineStr">
        <is>
          <t>PD-003-S</t>
        </is>
      </c>
      <c r="D207" s="21" t="inlineStr">
        <is>
          <t>PD-003</t>
        </is>
      </c>
      <c r="E207" s="12" t="inlineStr">
        <is>
          <t>Bordeaux Lace Midi</t>
        </is>
      </c>
      <c r="F207" s="12" t="inlineStr">
        <is>
          <t>Dresses</t>
        </is>
      </c>
      <c r="G207" s="21" t="inlineStr">
        <is>
          <t>S</t>
        </is>
      </c>
      <c r="H207" s="13" t="n">
        <v>2</v>
      </c>
      <c r="I207" s="14" t="n">
        <v>7800</v>
      </c>
      <c r="J207" s="14">
        <f>H207*I207</f>
        <v/>
      </c>
      <c r="K207" s="14" t="n">
        <v>2800</v>
      </c>
      <c r="L207" s="14">
        <f>H207*K207</f>
        <v/>
      </c>
      <c r="M207" s="14">
        <f>J207-L207</f>
        <v/>
      </c>
      <c r="N207" s="21" t="inlineStr">
        <is>
          <t>WH-BLR-02</t>
        </is>
      </c>
      <c r="O207" s="21" t="inlineStr">
        <is>
          <t>Retail Store</t>
        </is>
      </c>
    </row>
    <row r="208" ht="19" customHeight="1">
      <c r="A208" s="20" t="inlineStr">
        <is>
          <t>ORD-2025198</t>
        </is>
      </c>
      <c r="B208" s="20" t="inlineStr">
        <is>
          <t>2025-12-21</t>
        </is>
      </c>
      <c r="C208" s="20" t="inlineStr">
        <is>
          <t>PD-008-XS</t>
        </is>
      </c>
      <c r="D208" s="20" t="inlineStr">
        <is>
          <t>PD-008</t>
        </is>
      </c>
      <c r="E208" s="9" t="inlineStr">
        <is>
          <t>Tuscan Sun Silk Skirt</t>
        </is>
      </c>
      <c r="F208" s="9" t="inlineStr">
        <is>
          <t>Skirts</t>
        </is>
      </c>
      <c r="G208" s="20" t="inlineStr">
        <is>
          <t>XS</t>
        </is>
      </c>
      <c r="H208" s="10" t="n">
        <v>1</v>
      </c>
      <c r="I208" s="11" t="n">
        <v>4500</v>
      </c>
      <c r="J208" s="11">
        <f>H208*I208</f>
        <v/>
      </c>
      <c r="K208" s="11" t="n">
        <v>1600</v>
      </c>
      <c r="L208" s="11">
        <f>H208*K208</f>
        <v/>
      </c>
      <c r="M208" s="11">
        <f>J208-L208</f>
        <v/>
      </c>
      <c r="N208" s="20" t="inlineStr">
        <is>
          <t>WH-DEL-03</t>
        </is>
      </c>
      <c r="O208" s="20" t="inlineStr">
        <is>
          <t>Retail Store</t>
        </is>
      </c>
    </row>
    <row r="209" ht="19" customHeight="1">
      <c r="A209" s="21" t="inlineStr">
        <is>
          <t>ORD-2025302</t>
        </is>
      </c>
      <c r="B209" s="21" t="inlineStr">
        <is>
          <t>2025-12-21</t>
        </is>
      </c>
      <c r="C209" s="21" t="inlineStr">
        <is>
          <t>PD-010-S</t>
        </is>
      </c>
      <c r="D209" s="21" t="inlineStr">
        <is>
          <t>PD-010</t>
        </is>
      </c>
      <c r="E209" s="12" t="inlineStr">
        <is>
          <t>Noir Tailored Blazer</t>
        </is>
      </c>
      <c r="F209" s="12" t="inlineStr">
        <is>
          <t>Outerwear</t>
        </is>
      </c>
      <c r="G209" s="21" t="inlineStr">
        <is>
          <t>S</t>
        </is>
      </c>
      <c r="H209" s="13" t="n">
        <v>3</v>
      </c>
      <c r="I209" s="14" t="n">
        <v>11000</v>
      </c>
      <c r="J209" s="14">
        <f>H209*I209</f>
        <v/>
      </c>
      <c r="K209" s="14" t="n">
        <v>4200</v>
      </c>
      <c r="L209" s="14">
        <f>H209*K209</f>
        <v/>
      </c>
      <c r="M209" s="14">
        <f>J209-L209</f>
        <v/>
      </c>
      <c r="N209" s="21" t="inlineStr">
        <is>
          <t>WH-DEL-03</t>
        </is>
      </c>
      <c r="O209" s="21" t="inlineStr">
        <is>
          <t>Mobile App</t>
        </is>
      </c>
    </row>
    <row r="210" ht="19" customHeight="1">
      <c r="A210" s="20" t="inlineStr">
        <is>
          <t>ORD-2025076</t>
        </is>
      </c>
      <c r="B210" s="20" t="inlineStr">
        <is>
          <t>2025-12-22</t>
        </is>
      </c>
      <c r="C210" s="20" t="inlineStr">
        <is>
          <t>PD-006-M</t>
        </is>
      </c>
      <c r="D210" s="20" t="inlineStr">
        <is>
          <t>PD-006</t>
        </is>
      </c>
      <c r="E210" s="9" t="inlineStr">
        <is>
          <t>Chiffon Crimson Blouse</t>
        </is>
      </c>
      <c r="F210" s="9" t="inlineStr">
        <is>
          <t>Tops</t>
        </is>
      </c>
      <c r="G210" s="20" t="inlineStr">
        <is>
          <t>M</t>
        </is>
      </c>
      <c r="H210" s="10" t="n">
        <v>5</v>
      </c>
      <c r="I210" s="11" t="n">
        <v>3200</v>
      </c>
      <c r="J210" s="11">
        <f>H210*I210</f>
        <v/>
      </c>
      <c r="K210" s="11" t="n">
        <v>1100</v>
      </c>
      <c r="L210" s="11">
        <f>H210*K210</f>
        <v/>
      </c>
      <c r="M210" s="11">
        <f>J210-L210</f>
        <v/>
      </c>
      <c r="N210" s="20" t="inlineStr">
        <is>
          <t>WH-DEL-03</t>
        </is>
      </c>
      <c r="O210" s="20" t="inlineStr">
        <is>
          <t>Online Store</t>
        </is>
      </c>
    </row>
    <row r="211" ht="19" customHeight="1">
      <c r="A211" s="21" t="inlineStr">
        <is>
          <t>ORD-2025284</t>
        </is>
      </c>
      <c r="B211" s="21" t="inlineStr">
        <is>
          <t>2025-12-22</t>
        </is>
      </c>
      <c r="C211" s="21" t="inlineStr">
        <is>
          <t>PD-006-M</t>
        </is>
      </c>
      <c r="D211" s="21" t="inlineStr">
        <is>
          <t>PD-006</t>
        </is>
      </c>
      <c r="E211" s="12" t="inlineStr">
        <is>
          <t>Chiffon Crimson Blouse</t>
        </is>
      </c>
      <c r="F211" s="12" t="inlineStr">
        <is>
          <t>Tops</t>
        </is>
      </c>
      <c r="G211" s="21" t="inlineStr">
        <is>
          <t>M</t>
        </is>
      </c>
      <c r="H211" s="13" t="n">
        <v>3</v>
      </c>
      <c r="I211" s="14" t="n">
        <v>3200</v>
      </c>
      <c r="J211" s="14">
        <f>H211*I211</f>
        <v/>
      </c>
      <c r="K211" s="14" t="n">
        <v>1100</v>
      </c>
      <c r="L211" s="14">
        <f>H211*K211</f>
        <v/>
      </c>
      <c r="M211" s="14">
        <f>J211-L211</f>
        <v/>
      </c>
      <c r="N211" s="21" t="inlineStr">
        <is>
          <t>WH-DEL-03</t>
        </is>
      </c>
      <c r="O211" s="21" t="inlineStr">
        <is>
          <t>Retail Store</t>
        </is>
      </c>
    </row>
    <row r="212" ht="19" customHeight="1">
      <c r="A212" s="20" t="inlineStr">
        <is>
          <t>ORD-2025412</t>
        </is>
      </c>
      <c r="B212" s="20" t="inlineStr">
        <is>
          <t>2025-12-22</t>
        </is>
      </c>
      <c r="C212" s="20" t="inlineStr">
        <is>
          <t>PD-009-S</t>
        </is>
      </c>
      <c r="D212" s="20" t="inlineStr">
        <is>
          <t>PD-009</t>
        </is>
      </c>
      <c r="E212" s="9" t="inlineStr">
        <is>
          <t>Syrah Pleated Maxi Skirt</t>
        </is>
      </c>
      <c r="F212" s="9" t="inlineStr">
        <is>
          <t>Skirts</t>
        </is>
      </c>
      <c r="G212" s="20" t="inlineStr">
        <is>
          <t>S</t>
        </is>
      </c>
      <c r="H212" s="10" t="n">
        <v>3</v>
      </c>
      <c r="I212" s="11" t="n">
        <v>5400</v>
      </c>
      <c r="J212" s="11">
        <f>H212*I212</f>
        <v/>
      </c>
      <c r="K212" s="11" t="n">
        <v>1900</v>
      </c>
      <c r="L212" s="11">
        <f>H212*K212</f>
        <v/>
      </c>
      <c r="M212" s="11">
        <f>J212-L212</f>
        <v/>
      </c>
      <c r="N212" s="20" t="inlineStr">
        <is>
          <t>WH-HYD-01</t>
        </is>
      </c>
      <c r="O212" s="20" t="inlineStr">
        <is>
          <t>Online Store</t>
        </is>
      </c>
    </row>
    <row r="213" ht="19" customHeight="1">
      <c r="A213" s="21" t="inlineStr">
        <is>
          <t>ORD-2025450</t>
        </is>
      </c>
      <c r="B213" s="21" t="inlineStr">
        <is>
          <t>2025-12-22</t>
        </is>
      </c>
      <c r="C213" s="21" t="inlineStr">
        <is>
          <t>PD-003-M</t>
        </is>
      </c>
      <c r="D213" s="21" t="inlineStr">
        <is>
          <t>PD-003</t>
        </is>
      </c>
      <c r="E213" s="12" t="inlineStr">
        <is>
          <t>Bordeaux Lace Midi</t>
        </is>
      </c>
      <c r="F213" s="12" t="inlineStr">
        <is>
          <t>Dresses</t>
        </is>
      </c>
      <c r="G213" s="21" t="inlineStr">
        <is>
          <t>M</t>
        </is>
      </c>
      <c r="H213" s="13" t="n">
        <v>2</v>
      </c>
      <c r="I213" s="14" t="n">
        <v>7800</v>
      </c>
      <c r="J213" s="14">
        <f>H213*I213</f>
        <v/>
      </c>
      <c r="K213" s="14" t="n">
        <v>2800</v>
      </c>
      <c r="L213" s="14">
        <f>H213*K213</f>
        <v/>
      </c>
      <c r="M213" s="14">
        <f>J213-L213</f>
        <v/>
      </c>
      <c r="N213" s="21" t="inlineStr">
        <is>
          <t>WH-BLR-02</t>
        </is>
      </c>
      <c r="O213" s="21" t="inlineStr">
        <is>
          <t>Mobile App</t>
        </is>
      </c>
    </row>
    <row r="214" ht="19" customHeight="1">
      <c r="A214" s="20" t="inlineStr">
        <is>
          <t>ORD-2025482</t>
        </is>
      </c>
      <c r="B214" s="20" t="inlineStr">
        <is>
          <t>2025-12-22</t>
        </is>
      </c>
      <c r="C214" s="20" t="inlineStr">
        <is>
          <t>PD-003-S</t>
        </is>
      </c>
      <c r="D214" s="20" t="inlineStr">
        <is>
          <t>PD-003</t>
        </is>
      </c>
      <c r="E214" s="9" t="inlineStr">
        <is>
          <t>Bordeaux Lace Midi</t>
        </is>
      </c>
      <c r="F214" s="9" t="inlineStr">
        <is>
          <t>Dresses</t>
        </is>
      </c>
      <c r="G214" s="20" t="inlineStr">
        <is>
          <t>S</t>
        </is>
      </c>
      <c r="H214" s="10" t="n">
        <v>4</v>
      </c>
      <c r="I214" s="11" t="n">
        <v>7800</v>
      </c>
      <c r="J214" s="11">
        <f>H214*I214</f>
        <v/>
      </c>
      <c r="K214" s="11" t="n">
        <v>2800</v>
      </c>
      <c r="L214" s="11">
        <f>H214*K214</f>
        <v/>
      </c>
      <c r="M214" s="11">
        <f>J214-L214</f>
        <v/>
      </c>
      <c r="N214" s="20" t="inlineStr">
        <is>
          <t>WH-DEL-03</t>
        </is>
      </c>
      <c r="O214" s="20" t="inlineStr">
        <is>
          <t>Retail Store</t>
        </is>
      </c>
    </row>
    <row r="215" ht="19" customHeight="1">
      <c r="A215" s="21" t="inlineStr">
        <is>
          <t>ORD-2025330</t>
        </is>
      </c>
      <c r="B215" s="21" t="inlineStr">
        <is>
          <t>2025-12-23</t>
        </is>
      </c>
      <c r="C215" s="21" t="inlineStr">
        <is>
          <t>PD-002-XL</t>
        </is>
      </c>
      <c r="D215" s="21" t="inlineStr">
        <is>
          <t>PD-002</t>
        </is>
      </c>
      <c r="E215" s="12" t="inlineStr">
        <is>
          <t>Merlot Satin Slip Dress</t>
        </is>
      </c>
      <c r="F215" s="12" t="inlineStr">
        <is>
          <t>Dresses</t>
        </is>
      </c>
      <c r="G215" s="21" t="inlineStr">
        <is>
          <t>XL</t>
        </is>
      </c>
      <c r="H215" s="13" t="n">
        <v>4</v>
      </c>
      <c r="I215" s="14" t="n">
        <v>6200</v>
      </c>
      <c r="J215" s="14">
        <f>H215*I215</f>
        <v/>
      </c>
      <c r="K215" s="14" t="n">
        <v>2100</v>
      </c>
      <c r="L215" s="14">
        <f>H215*K215</f>
        <v/>
      </c>
      <c r="M215" s="14">
        <f>J215-L215</f>
        <v/>
      </c>
      <c r="N215" s="21" t="inlineStr">
        <is>
          <t>WH-HYD-01</t>
        </is>
      </c>
      <c r="O215" s="21" t="inlineStr">
        <is>
          <t>Retail Store</t>
        </is>
      </c>
    </row>
    <row r="216" ht="19" customHeight="1">
      <c r="A216" s="20" t="inlineStr">
        <is>
          <t>ORD-2025100</t>
        </is>
      </c>
      <c r="B216" s="20" t="inlineStr">
        <is>
          <t>2025-12-24</t>
        </is>
      </c>
      <c r="C216" s="20" t="inlineStr">
        <is>
          <t>PD-010-L</t>
        </is>
      </c>
      <c r="D216" s="20" t="inlineStr">
        <is>
          <t>PD-010</t>
        </is>
      </c>
      <c r="E216" s="9" t="inlineStr">
        <is>
          <t>Noir Tailored Blazer</t>
        </is>
      </c>
      <c r="F216" s="9" t="inlineStr">
        <is>
          <t>Outerwear</t>
        </is>
      </c>
      <c r="G216" s="20" t="inlineStr">
        <is>
          <t>L</t>
        </is>
      </c>
      <c r="H216" s="10" t="n">
        <v>4</v>
      </c>
      <c r="I216" s="11" t="n">
        <v>11000</v>
      </c>
      <c r="J216" s="11">
        <f>H216*I216</f>
        <v/>
      </c>
      <c r="K216" s="11" t="n">
        <v>4200</v>
      </c>
      <c r="L216" s="11">
        <f>H216*K216</f>
        <v/>
      </c>
      <c r="M216" s="11">
        <f>J216-L216</f>
        <v/>
      </c>
      <c r="N216" s="20" t="inlineStr">
        <is>
          <t>WH-DEL-03</t>
        </is>
      </c>
      <c r="O216" s="20" t="inlineStr">
        <is>
          <t>Mobile App</t>
        </is>
      </c>
    </row>
    <row r="217" ht="19" customHeight="1">
      <c r="A217" s="21" t="inlineStr">
        <is>
          <t>ORD-2025371</t>
        </is>
      </c>
      <c r="B217" s="21" t="inlineStr">
        <is>
          <t>2025-12-25</t>
        </is>
      </c>
      <c r="C217" s="21" t="inlineStr">
        <is>
          <t>PD-002-S</t>
        </is>
      </c>
      <c r="D217" s="21" t="inlineStr">
        <is>
          <t>PD-002</t>
        </is>
      </c>
      <c r="E217" s="12" t="inlineStr">
        <is>
          <t>Merlot Satin Slip Dress</t>
        </is>
      </c>
      <c r="F217" s="12" t="inlineStr">
        <is>
          <t>Dresses</t>
        </is>
      </c>
      <c r="G217" s="21" t="inlineStr">
        <is>
          <t>S</t>
        </is>
      </c>
      <c r="H217" s="13" t="n">
        <v>3</v>
      </c>
      <c r="I217" s="14" t="n">
        <v>6200</v>
      </c>
      <c r="J217" s="14">
        <f>H217*I217</f>
        <v/>
      </c>
      <c r="K217" s="14" t="n">
        <v>2100</v>
      </c>
      <c r="L217" s="14">
        <f>H217*K217</f>
        <v/>
      </c>
      <c r="M217" s="14">
        <f>J217-L217</f>
        <v/>
      </c>
      <c r="N217" s="21" t="inlineStr">
        <is>
          <t>WH-HYD-01</t>
        </is>
      </c>
      <c r="O217" s="21" t="inlineStr">
        <is>
          <t>Online Store</t>
        </is>
      </c>
    </row>
    <row r="218" ht="19" customHeight="1">
      <c r="A218" s="20" t="inlineStr">
        <is>
          <t>ORD-2025209</t>
        </is>
      </c>
      <c r="B218" s="20" t="inlineStr">
        <is>
          <t>2025-12-26</t>
        </is>
      </c>
      <c r="C218" s="20" t="inlineStr">
        <is>
          <t>PD-003-M</t>
        </is>
      </c>
      <c r="D218" s="20" t="inlineStr">
        <is>
          <t>PD-003</t>
        </is>
      </c>
      <c r="E218" s="9" t="inlineStr">
        <is>
          <t>Bordeaux Lace Midi</t>
        </is>
      </c>
      <c r="F218" s="9" t="inlineStr">
        <is>
          <t>Dresses</t>
        </is>
      </c>
      <c r="G218" s="20" t="inlineStr">
        <is>
          <t>M</t>
        </is>
      </c>
      <c r="H218" s="10" t="n">
        <v>2</v>
      </c>
      <c r="I218" s="11" t="n">
        <v>7800</v>
      </c>
      <c r="J218" s="11">
        <f>H218*I218</f>
        <v/>
      </c>
      <c r="K218" s="11" t="n">
        <v>2800</v>
      </c>
      <c r="L218" s="11">
        <f>H218*K218</f>
        <v/>
      </c>
      <c r="M218" s="11">
        <f>J218-L218</f>
        <v/>
      </c>
      <c r="N218" s="20" t="inlineStr">
        <is>
          <t>WH-DEL-03</t>
        </is>
      </c>
      <c r="O218" s="20" t="inlineStr">
        <is>
          <t>Retail Store</t>
        </is>
      </c>
    </row>
    <row r="219" ht="19" customHeight="1">
      <c r="A219" s="21" t="inlineStr">
        <is>
          <t>ORD-2025337</t>
        </is>
      </c>
      <c r="B219" s="21" t="inlineStr">
        <is>
          <t>2025-12-26</t>
        </is>
      </c>
      <c r="C219" s="21" t="inlineStr">
        <is>
          <t>PD-008-L</t>
        </is>
      </c>
      <c r="D219" s="21" t="inlineStr">
        <is>
          <t>PD-008</t>
        </is>
      </c>
      <c r="E219" s="12" t="inlineStr">
        <is>
          <t>Tuscan Sun Silk Skirt</t>
        </is>
      </c>
      <c r="F219" s="12" t="inlineStr">
        <is>
          <t>Skirts</t>
        </is>
      </c>
      <c r="G219" s="21" t="inlineStr">
        <is>
          <t>L</t>
        </is>
      </c>
      <c r="H219" s="13" t="n">
        <v>4</v>
      </c>
      <c r="I219" s="14" t="n">
        <v>4500</v>
      </c>
      <c r="J219" s="14">
        <f>H219*I219</f>
        <v/>
      </c>
      <c r="K219" s="14" t="n">
        <v>1600</v>
      </c>
      <c r="L219" s="14">
        <f>H219*K219</f>
        <v/>
      </c>
      <c r="M219" s="14">
        <f>J219-L219</f>
        <v/>
      </c>
      <c r="N219" s="21" t="inlineStr">
        <is>
          <t>WH-DEL-03</t>
        </is>
      </c>
      <c r="O219" s="21" t="inlineStr">
        <is>
          <t>Online Store</t>
        </is>
      </c>
    </row>
    <row r="220" ht="19" customHeight="1">
      <c r="A220" s="20" t="inlineStr">
        <is>
          <t>ORD-2025011</t>
        </is>
      </c>
      <c r="B220" s="20" t="inlineStr">
        <is>
          <t>2025-12-27</t>
        </is>
      </c>
      <c r="C220" s="20" t="inlineStr">
        <is>
          <t>PD-007-S</t>
        </is>
      </c>
      <c r="D220" s="20" t="inlineStr">
        <is>
          <t>PD-007</t>
        </is>
      </c>
      <c r="E220" s="9" t="inlineStr">
        <is>
          <t>Burgundy Trench Coat</t>
        </is>
      </c>
      <c r="F220" s="9" t="inlineStr">
        <is>
          <t>Outerwear</t>
        </is>
      </c>
      <c r="G220" s="20" t="inlineStr">
        <is>
          <t>S</t>
        </is>
      </c>
      <c r="H220" s="10" t="n">
        <v>1</v>
      </c>
      <c r="I220" s="11" t="n">
        <v>12500</v>
      </c>
      <c r="J220" s="11">
        <f>H220*I220</f>
        <v/>
      </c>
      <c r="K220" s="11" t="n">
        <v>4800</v>
      </c>
      <c r="L220" s="11">
        <f>H220*K220</f>
        <v/>
      </c>
      <c r="M220" s="11">
        <f>J220-L220</f>
        <v/>
      </c>
      <c r="N220" s="20" t="inlineStr">
        <is>
          <t>WH-HYD-01</t>
        </is>
      </c>
      <c r="O220" s="20" t="inlineStr">
        <is>
          <t>Retail Store</t>
        </is>
      </c>
    </row>
    <row r="221" ht="19" customHeight="1">
      <c r="A221" s="21" t="inlineStr">
        <is>
          <t>ORD-2025269</t>
        </is>
      </c>
      <c r="B221" s="21" t="inlineStr">
        <is>
          <t>2025-12-27</t>
        </is>
      </c>
      <c r="C221" s="21" t="inlineStr">
        <is>
          <t>PD-001-S</t>
        </is>
      </c>
      <c r="D221" s="21" t="inlineStr">
        <is>
          <t>PD-001</t>
        </is>
      </c>
      <c r="E221" s="12" t="inlineStr">
        <is>
          <t>Cabernet Velvet Gown</t>
        </is>
      </c>
      <c r="F221" s="12" t="inlineStr">
        <is>
          <t>Dresses</t>
        </is>
      </c>
      <c r="G221" s="21" t="inlineStr">
        <is>
          <t>S</t>
        </is>
      </c>
      <c r="H221" s="13" t="n">
        <v>2</v>
      </c>
      <c r="I221" s="14" t="n">
        <v>8500</v>
      </c>
      <c r="J221" s="14">
        <f>H221*I221</f>
        <v/>
      </c>
      <c r="K221" s="14" t="n">
        <v>3200</v>
      </c>
      <c r="L221" s="14">
        <f>H221*K221</f>
        <v/>
      </c>
      <c r="M221" s="14">
        <f>J221-L221</f>
        <v/>
      </c>
      <c r="N221" s="21" t="inlineStr">
        <is>
          <t>WH-BLR-02</t>
        </is>
      </c>
      <c r="O221" s="21" t="inlineStr">
        <is>
          <t>Online Store</t>
        </is>
      </c>
    </row>
    <row r="222" ht="19" customHeight="1">
      <c r="A222" s="20" t="inlineStr">
        <is>
          <t>ORD-2025022</t>
        </is>
      </c>
      <c r="B222" s="20" t="inlineStr">
        <is>
          <t>2025-12-31</t>
        </is>
      </c>
      <c r="C222" s="20" t="inlineStr">
        <is>
          <t>PD-001-XL</t>
        </is>
      </c>
      <c r="D222" s="20" t="inlineStr">
        <is>
          <t>PD-001</t>
        </is>
      </c>
      <c r="E222" s="9" t="inlineStr">
        <is>
          <t>Cabernet Velvet Gown</t>
        </is>
      </c>
      <c r="F222" s="9" t="inlineStr">
        <is>
          <t>Dresses</t>
        </is>
      </c>
      <c r="G222" s="20" t="inlineStr">
        <is>
          <t>XL</t>
        </is>
      </c>
      <c r="H222" s="10" t="n">
        <v>5</v>
      </c>
      <c r="I222" s="11" t="n">
        <v>8500</v>
      </c>
      <c r="J222" s="11">
        <f>H222*I222</f>
        <v/>
      </c>
      <c r="K222" s="11" t="n">
        <v>3200</v>
      </c>
      <c r="L222" s="11">
        <f>H222*K222</f>
        <v/>
      </c>
      <c r="M222" s="11">
        <f>J222-L222</f>
        <v/>
      </c>
      <c r="N222" s="20" t="inlineStr">
        <is>
          <t>WH-HYD-01</t>
        </is>
      </c>
      <c r="O222" s="20" t="inlineStr">
        <is>
          <t>Retail Store</t>
        </is>
      </c>
    </row>
    <row r="223" ht="19" customHeight="1">
      <c r="A223" s="21" t="inlineStr">
        <is>
          <t>ORD-2025188</t>
        </is>
      </c>
      <c r="B223" s="21" t="inlineStr">
        <is>
          <t>2026-01-01</t>
        </is>
      </c>
      <c r="C223" s="21" t="inlineStr">
        <is>
          <t>PD-005-XS</t>
        </is>
      </c>
      <c r="D223" s="21" t="inlineStr">
        <is>
          <t>PD-005</t>
        </is>
      </c>
      <c r="E223" s="12" t="inlineStr">
        <is>
          <t>Shiraz Wrap Evening Dress</t>
        </is>
      </c>
      <c r="F223" s="12" t="inlineStr">
        <is>
          <t>Dresses</t>
        </is>
      </c>
      <c r="G223" s="21" t="inlineStr">
        <is>
          <t>XS</t>
        </is>
      </c>
      <c r="H223" s="13" t="n">
        <v>1</v>
      </c>
      <c r="I223" s="14" t="n">
        <v>9200</v>
      </c>
      <c r="J223" s="14">
        <f>H223*I223</f>
        <v/>
      </c>
      <c r="K223" s="14" t="n">
        <v>3500</v>
      </c>
      <c r="L223" s="14">
        <f>H223*K223</f>
        <v/>
      </c>
      <c r="M223" s="14">
        <f>J223-L223</f>
        <v/>
      </c>
      <c r="N223" s="21" t="inlineStr">
        <is>
          <t>WH-HYD-01</t>
        </is>
      </c>
      <c r="O223" s="21" t="inlineStr">
        <is>
          <t>Retail Store</t>
        </is>
      </c>
    </row>
    <row r="224" ht="19" customHeight="1">
      <c r="A224" s="20" t="inlineStr">
        <is>
          <t>ORD-2025208</t>
        </is>
      </c>
      <c r="B224" s="20" t="inlineStr">
        <is>
          <t>2026-01-01</t>
        </is>
      </c>
      <c r="C224" s="20" t="inlineStr">
        <is>
          <t>PD-008-XS</t>
        </is>
      </c>
      <c r="D224" s="20" t="inlineStr">
        <is>
          <t>PD-008</t>
        </is>
      </c>
      <c r="E224" s="9" t="inlineStr">
        <is>
          <t>Tuscan Sun Silk Skirt</t>
        </is>
      </c>
      <c r="F224" s="9" t="inlineStr">
        <is>
          <t>Skirts</t>
        </is>
      </c>
      <c r="G224" s="20" t="inlineStr">
        <is>
          <t>XS</t>
        </is>
      </c>
      <c r="H224" s="10" t="n">
        <v>5</v>
      </c>
      <c r="I224" s="11" t="n">
        <v>4500</v>
      </c>
      <c r="J224" s="11">
        <f>H224*I224</f>
        <v/>
      </c>
      <c r="K224" s="11" t="n">
        <v>1600</v>
      </c>
      <c r="L224" s="11">
        <f>H224*K224</f>
        <v/>
      </c>
      <c r="M224" s="11">
        <f>J224-L224</f>
        <v/>
      </c>
      <c r="N224" s="20" t="inlineStr">
        <is>
          <t>WH-BLR-02</t>
        </is>
      </c>
      <c r="O224" s="20" t="inlineStr">
        <is>
          <t>Retail Store</t>
        </is>
      </c>
    </row>
    <row r="225" ht="19" customHeight="1">
      <c r="A225" s="21" t="inlineStr">
        <is>
          <t>ORD-2025263</t>
        </is>
      </c>
      <c r="B225" s="21" t="inlineStr">
        <is>
          <t>2026-01-01</t>
        </is>
      </c>
      <c r="C225" s="21" t="inlineStr">
        <is>
          <t>PD-004-XS</t>
        </is>
      </c>
      <c r="D225" s="21" t="inlineStr">
        <is>
          <t>PD-004</t>
        </is>
      </c>
      <c r="E225" s="12" t="inlineStr">
        <is>
          <t>Rosé Off-Shoulder Mini</t>
        </is>
      </c>
      <c r="F225" s="12" t="inlineStr">
        <is>
          <t>Dresses</t>
        </is>
      </c>
      <c r="G225" s="21" t="inlineStr">
        <is>
          <t>XS</t>
        </is>
      </c>
      <c r="H225" s="13" t="n">
        <v>2</v>
      </c>
      <c r="I225" s="14" t="n">
        <v>4900</v>
      </c>
      <c r="J225" s="14">
        <f>H225*I225</f>
        <v/>
      </c>
      <c r="K225" s="14" t="n">
        <v>1800</v>
      </c>
      <c r="L225" s="14">
        <f>H225*K225</f>
        <v/>
      </c>
      <c r="M225" s="14">
        <f>J225-L225</f>
        <v/>
      </c>
      <c r="N225" s="21" t="inlineStr">
        <is>
          <t>WH-DEL-03</t>
        </is>
      </c>
      <c r="O225" s="21" t="inlineStr">
        <is>
          <t>Online Store</t>
        </is>
      </c>
    </row>
    <row r="226" ht="19" customHeight="1">
      <c r="A226" s="20" t="inlineStr">
        <is>
          <t>ORD-2025388</t>
        </is>
      </c>
      <c r="B226" s="20" t="inlineStr">
        <is>
          <t>2026-01-01</t>
        </is>
      </c>
      <c r="C226" s="20" t="inlineStr">
        <is>
          <t>PD-002-L</t>
        </is>
      </c>
      <c r="D226" s="20" t="inlineStr">
        <is>
          <t>PD-002</t>
        </is>
      </c>
      <c r="E226" s="9" t="inlineStr">
        <is>
          <t>Merlot Satin Slip Dress</t>
        </is>
      </c>
      <c r="F226" s="9" t="inlineStr">
        <is>
          <t>Dresses</t>
        </is>
      </c>
      <c r="G226" s="20" t="inlineStr">
        <is>
          <t>L</t>
        </is>
      </c>
      <c r="H226" s="10" t="n">
        <v>1</v>
      </c>
      <c r="I226" s="11" t="n">
        <v>6200</v>
      </c>
      <c r="J226" s="11">
        <f>H226*I226</f>
        <v/>
      </c>
      <c r="K226" s="11" t="n">
        <v>2100</v>
      </c>
      <c r="L226" s="11">
        <f>H226*K226</f>
        <v/>
      </c>
      <c r="M226" s="11">
        <f>J226-L226</f>
        <v/>
      </c>
      <c r="N226" s="20" t="inlineStr">
        <is>
          <t>WH-BLR-02</t>
        </is>
      </c>
      <c r="O226" s="20" t="inlineStr">
        <is>
          <t>Mobile App</t>
        </is>
      </c>
    </row>
    <row r="227" ht="19" customHeight="1">
      <c r="A227" s="21" t="inlineStr">
        <is>
          <t>ORD-2025115</t>
        </is>
      </c>
      <c r="B227" s="21" t="inlineStr">
        <is>
          <t>2026-01-03</t>
        </is>
      </c>
      <c r="C227" s="21" t="inlineStr">
        <is>
          <t>PD-009-M</t>
        </is>
      </c>
      <c r="D227" s="21" t="inlineStr">
        <is>
          <t>PD-009</t>
        </is>
      </c>
      <c r="E227" s="12" t="inlineStr">
        <is>
          <t>Syrah Pleated Maxi Skirt</t>
        </is>
      </c>
      <c r="F227" s="12" t="inlineStr">
        <is>
          <t>Skirts</t>
        </is>
      </c>
      <c r="G227" s="21" t="inlineStr">
        <is>
          <t>M</t>
        </is>
      </c>
      <c r="H227" s="13" t="n">
        <v>4</v>
      </c>
      <c r="I227" s="14" t="n">
        <v>5400</v>
      </c>
      <c r="J227" s="14">
        <f>H227*I227</f>
        <v/>
      </c>
      <c r="K227" s="14" t="n">
        <v>1900</v>
      </c>
      <c r="L227" s="14">
        <f>H227*K227</f>
        <v/>
      </c>
      <c r="M227" s="14">
        <f>J227-L227</f>
        <v/>
      </c>
      <c r="N227" s="21" t="inlineStr">
        <is>
          <t>WH-DEL-03</t>
        </is>
      </c>
      <c r="O227" s="21" t="inlineStr">
        <is>
          <t>Online Store</t>
        </is>
      </c>
    </row>
    <row r="228" ht="19" customHeight="1">
      <c r="A228" s="20" t="inlineStr">
        <is>
          <t>ORD-2025436</t>
        </is>
      </c>
      <c r="B228" s="20" t="inlineStr">
        <is>
          <t>2026-01-03</t>
        </is>
      </c>
      <c r="C228" s="20" t="inlineStr">
        <is>
          <t>PD-008-S</t>
        </is>
      </c>
      <c r="D228" s="20" t="inlineStr">
        <is>
          <t>PD-008</t>
        </is>
      </c>
      <c r="E228" s="9" t="inlineStr">
        <is>
          <t>Tuscan Sun Silk Skirt</t>
        </is>
      </c>
      <c r="F228" s="9" t="inlineStr">
        <is>
          <t>Skirts</t>
        </is>
      </c>
      <c r="G228" s="20" t="inlineStr">
        <is>
          <t>S</t>
        </is>
      </c>
      <c r="H228" s="10" t="n">
        <v>1</v>
      </c>
      <c r="I228" s="11" t="n">
        <v>4500</v>
      </c>
      <c r="J228" s="11">
        <f>H228*I228</f>
        <v/>
      </c>
      <c r="K228" s="11" t="n">
        <v>1600</v>
      </c>
      <c r="L228" s="11">
        <f>H228*K228</f>
        <v/>
      </c>
      <c r="M228" s="11">
        <f>J228-L228</f>
        <v/>
      </c>
      <c r="N228" s="20" t="inlineStr">
        <is>
          <t>WH-HYD-01</t>
        </is>
      </c>
      <c r="O228" s="20" t="inlineStr">
        <is>
          <t>Online Store</t>
        </is>
      </c>
    </row>
    <row r="229" ht="19" customHeight="1">
      <c r="A229" s="21" t="inlineStr">
        <is>
          <t>ORD-2025019</t>
        </is>
      </c>
      <c r="B229" s="21" t="inlineStr">
        <is>
          <t>2026-01-04</t>
        </is>
      </c>
      <c r="C229" s="21" t="inlineStr">
        <is>
          <t>PD-001-S</t>
        </is>
      </c>
      <c r="D229" s="21" t="inlineStr">
        <is>
          <t>PD-001</t>
        </is>
      </c>
      <c r="E229" s="12" t="inlineStr">
        <is>
          <t>Cabernet Velvet Gown</t>
        </is>
      </c>
      <c r="F229" s="12" t="inlineStr">
        <is>
          <t>Dresses</t>
        </is>
      </c>
      <c r="G229" s="21" t="inlineStr">
        <is>
          <t>S</t>
        </is>
      </c>
      <c r="H229" s="13" t="n">
        <v>5</v>
      </c>
      <c r="I229" s="14" t="n">
        <v>8500</v>
      </c>
      <c r="J229" s="14">
        <f>H229*I229</f>
        <v/>
      </c>
      <c r="K229" s="14" t="n">
        <v>3200</v>
      </c>
      <c r="L229" s="14">
        <f>H229*K229</f>
        <v/>
      </c>
      <c r="M229" s="14">
        <f>J229-L229</f>
        <v/>
      </c>
      <c r="N229" s="21" t="inlineStr">
        <is>
          <t>WH-DEL-03</t>
        </is>
      </c>
      <c r="O229" s="21" t="inlineStr">
        <is>
          <t>Online Store</t>
        </is>
      </c>
    </row>
    <row r="230" ht="19" customHeight="1">
      <c r="A230" s="20" t="inlineStr">
        <is>
          <t>ORD-2025028</t>
        </is>
      </c>
      <c r="B230" s="20" t="inlineStr">
        <is>
          <t>2026-01-04</t>
        </is>
      </c>
      <c r="C230" s="20" t="inlineStr">
        <is>
          <t>PD-002-S</t>
        </is>
      </c>
      <c r="D230" s="20" t="inlineStr">
        <is>
          <t>PD-002</t>
        </is>
      </c>
      <c r="E230" s="9" t="inlineStr">
        <is>
          <t>Merlot Satin Slip Dress</t>
        </is>
      </c>
      <c r="F230" s="9" t="inlineStr">
        <is>
          <t>Dresses</t>
        </is>
      </c>
      <c r="G230" s="20" t="inlineStr">
        <is>
          <t>S</t>
        </is>
      </c>
      <c r="H230" s="10" t="n">
        <v>2</v>
      </c>
      <c r="I230" s="11" t="n">
        <v>6200</v>
      </c>
      <c r="J230" s="11">
        <f>H230*I230</f>
        <v/>
      </c>
      <c r="K230" s="11" t="n">
        <v>2100</v>
      </c>
      <c r="L230" s="11">
        <f>H230*K230</f>
        <v/>
      </c>
      <c r="M230" s="11">
        <f>J230-L230</f>
        <v/>
      </c>
      <c r="N230" s="20" t="inlineStr">
        <is>
          <t>WH-HYD-01</t>
        </is>
      </c>
      <c r="O230" s="20" t="inlineStr">
        <is>
          <t>Online Store</t>
        </is>
      </c>
    </row>
    <row r="231" ht="19" customHeight="1">
      <c r="A231" s="21" t="inlineStr">
        <is>
          <t>ORD-2025322</t>
        </is>
      </c>
      <c r="B231" s="21" t="inlineStr">
        <is>
          <t>2026-01-04</t>
        </is>
      </c>
      <c r="C231" s="21" t="inlineStr">
        <is>
          <t>PD-003-XL</t>
        </is>
      </c>
      <c r="D231" s="21" t="inlineStr">
        <is>
          <t>PD-003</t>
        </is>
      </c>
      <c r="E231" s="12" t="inlineStr">
        <is>
          <t>Bordeaux Lace Midi</t>
        </is>
      </c>
      <c r="F231" s="12" t="inlineStr">
        <is>
          <t>Dresses</t>
        </is>
      </c>
      <c r="G231" s="21" t="inlineStr">
        <is>
          <t>XL</t>
        </is>
      </c>
      <c r="H231" s="13" t="n">
        <v>3</v>
      </c>
      <c r="I231" s="14" t="n">
        <v>7800</v>
      </c>
      <c r="J231" s="14">
        <f>H231*I231</f>
        <v/>
      </c>
      <c r="K231" s="14" t="n">
        <v>2800</v>
      </c>
      <c r="L231" s="14">
        <f>H231*K231</f>
        <v/>
      </c>
      <c r="M231" s="14">
        <f>J231-L231</f>
        <v/>
      </c>
      <c r="N231" s="21" t="inlineStr">
        <is>
          <t>WH-HYD-01</t>
        </is>
      </c>
      <c r="O231" s="21" t="inlineStr">
        <is>
          <t>Online Store</t>
        </is>
      </c>
    </row>
    <row r="232" ht="19" customHeight="1">
      <c r="A232" s="20" t="inlineStr">
        <is>
          <t>ORD-2025389</t>
        </is>
      </c>
      <c r="B232" s="20" t="inlineStr">
        <is>
          <t>2026-01-04</t>
        </is>
      </c>
      <c r="C232" s="20" t="inlineStr">
        <is>
          <t>PD-009-S</t>
        </is>
      </c>
      <c r="D232" s="20" t="inlineStr">
        <is>
          <t>PD-009</t>
        </is>
      </c>
      <c r="E232" s="9" t="inlineStr">
        <is>
          <t>Syrah Pleated Maxi Skirt</t>
        </is>
      </c>
      <c r="F232" s="9" t="inlineStr">
        <is>
          <t>Skirts</t>
        </is>
      </c>
      <c r="G232" s="20" t="inlineStr">
        <is>
          <t>S</t>
        </is>
      </c>
      <c r="H232" s="10" t="n">
        <v>2</v>
      </c>
      <c r="I232" s="11" t="n">
        <v>5400</v>
      </c>
      <c r="J232" s="11">
        <f>H232*I232</f>
        <v/>
      </c>
      <c r="K232" s="11" t="n">
        <v>1900</v>
      </c>
      <c r="L232" s="11">
        <f>H232*K232</f>
        <v/>
      </c>
      <c r="M232" s="11">
        <f>J232-L232</f>
        <v/>
      </c>
      <c r="N232" s="20" t="inlineStr">
        <is>
          <t>WH-DEL-03</t>
        </is>
      </c>
      <c r="O232" s="20" t="inlineStr">
        <is>
          <t>Retail Store</t>
        </is>
      </c>
    </row>
    <row r="233" ht="19" customHeight="1">
      <c r="A233" s="21" t="inlineStr">
        <is>
          <t>ORD-2025462</t>
        </is>
      </c>
      <c r="B233" s="21" t="inlineStr">
        <is>
          <t>2026-01-04</t>
        </is>
      </c>
      <c r="C233" s="21" t="inlineStr">
        <is>
          <t>PD-008-XS</t>
        </is>
      </c>
      <c r="D233" s="21" t="inlineStr">
        <is>
          <t>PD-008</t>
        </is>
      </c>
      <c r="E233" s="12" t="inlineStr">
        <is>
          <t>Tuscan Sun Silk Skirt</t>
        </is>
      </c>
      <c r="F233" s="12" t="inlineStr">
        <is>
          <t>Skirts</t>
        </is>
      </c>
      <c r="G233" s="21" t="inlineStr">
        <is>
          <t>XS</t>
        </is>
      </c>
      <c r="H233" s="13" t="n">
        <v>3</v>
      </c>
      <c r="I233" s="14" t="n">
        <v>4500</v>
      </c>
      <c r="J233" s="14">
        <f>H233*I233</f>
        <v/>
      </c>
      <c r="K233" s="14" t="n">
        <v>1600</v>
      </c>
      <c r="L233" s="14">
        <f>H233*K233</f>
        <v/>
      </c>
      <c r="M233" s="14">
        <f>J233-L233</f>
        <v/>
      </c>
      <c r="N233" s="21" t="inlineStr">
        <is>
          <t>WH-HYD-01</t>
        </is>
      </c>
      <c r="O233" s="21" t="inlineStr">
        <is>
          <t>Online Store</t>
        </is>
      </c>
    </row>
    <row r="234" ht="19" customHeight="1">
      <c r="A234" s="20" t="inlineStr">
        <is>
          <t>ORD-2025006</t>
        </is>
      </c>
      <c r="B234" s="20" t="inlineStr">
        <is>
          <t>2026-01-05</t>
        </is>
      </c>
      <c r="C234" s="20" t="inlineStr">
        <is>
          <t>PD-002-M</t>
        </is>
      </c>
      <c r="D234" s="20" t="inlineStr">
        <is>
          <t>PD-002</t>
        </is>
      </c>
      <c r="E234" s="9" t="inlineStr">
        <is>
          <t>Merlot Satin Slip Dress</t>
        </is>
      </c>
      <c r="F234" s="9" t="inlineStr">
        <is>
          <t>Dresses</t>
        </is>
      </c>
      <c r="G234" s="20" t="inlineStr">
        <is>
          <t>M</t>
        </is>
      </c>
      <c r="H234" s="10" t="n">
        <v>3</v>
      </c>
      <c r="I234" s="11" t="n">
        <v>6200</v>
      </c>
      <c r="J234" s="11">
        <f>H234*I234</f>
        <v/>
      </c>
      <c r="K234" s="11" t="n">
        <v>2100</v>
      </c>
      <c r="L234" s="11">
        <f>H234*K234</f>
        <v/>
      </c>
      <c r="M234" s="11">
        <f>J234-L234</f>
        <v/>
      </c>
      <c r="N234" s="20" t="inlineStr">
        <is>
          <t>WH-BLR-02</t>
        </is>
      </c>
      <c r="O234" s="20" t="inlineStr">
        <is>
          <t>Online Store</t>
        </is>
      </c>
    </row>
    <row r="235" ht="19" customHeight="1">
      <c r="A235" s="21" t="inlineStr">
        <is>
          <t>ORD-2025307</t>
        </is>
      </c>
      <c r="B235" s="21" t="inlineStr">
        <is>
          <t>2026-01-07</t>
        </is>
      </c>
      <c r="C235" s="21" t="inlineStr">
        <is>
          <t>PD-006-M</t>
        </is>
      </c>
      <c r="D235" s="21" t="inlineStr">
        <is>
          <t>PD-006</t>
        </is>
      </c>
      <c r="E235" s="12" t="inlineStr">
        <is>
          <t>Chiffon Crimson Blouse</t>
        </is>
      </c>
      <c r="F235" s="12" t="inlineStr">
        <is>
          <t>Tops</t>
        </is>
      </c>
      <c r="G235" s="21" t="inlineStr">
        <is>
          <t>M</t>
        </is>
      </c>
      <c r="H235" s="13" t="n">
        <v>1</v>
      </c>
      <c r="I235" s="14" t="n">
        <v>3200</v>
      </c>
      <c r="J235" s="14">
        <f>H235*I235</f>
        <v/>
      </c>
      <c r="K235" s="14" t="n">
        <v>1100</v>
      </c>
      <c r="L235" s="14">
        <f>H235*K235</f>
        <v/>
      </c>
      <c r="M235" s="14">
        <f>J235-L235</f>
        <v/>
      </c>
      <c r="N235" s="21" t="inlineStr">
        <is>
          <t>WH-BLR-02</t>
        </is>
      </c>
      <c r="O235" s="21" t="inlineStr">
        <is>
          <t>Mobile App</t>
        </is>
      </c>
    </row>
    <row r="236" ht="19" customHeight="1">
      <c r="A236" s="20" t="inlineStr">
        <is>
          <t>ORD-2025489</t>
        </is>
      </c>
      <c r="B236" s="20" t="inlineStr">
        <is>
          <t>2026-01-07</t>
        </is>
      </c>
      <c r="C236" s="20" t="inlineStr">
        <is>
          <t>PD-010-XL</t>
        </is>
      </c>
      <c r="D236" s="20" t="inlineStr">
        <is>
          <t>PD-010</t>
        </is>
      </c>
      <c r="E236" s="9" t="inlineStr">
        <is>
          <t>Noir Tailored Blazer</t>
        </is>
      </c>
      <c r="F236" s="9" t="inlineStr">
        <is>
          <t>Outerwear</t>
        </is>
      </c>
      <c r="G236" s="20" t="inlineStr">
        <is>
          <t>XL</t>
        </is>
      </c>
      <c r="H236" s="10" t="n">
        <v>2</v>
      </c>
      <c r="I236" s="11" t="n">
        <v>11000</v>
      </c>
      <c r="J236" s="11">
        <f>H236*I236</f>
        <v/>
      </c>
      <c r="K236" s="11" t="n">
        <v>4200</v>
      </c>
      <c r="L236" s="11">
        <f>H236*K236</f>
        <v/>
      </c>
      <c r="M236" s="11">
        <f>J236-L236</f>
        <v/>
      </c>
      <c r="N236" s="20" t="inlineStr">
        <is>
          <t>WH-BLR-02</t>
        </is>
      </c>
      <c r="O236" s="20" t="inlineStr">
        <is>
          <t>Online Store</t>
        </is>
      </c>
    </row>
    <row r="237" ht="19" customHeight="1">
      <c r="A237" s="21" t="inlineStr">
        <is>
          <t>ORD-2025487</t>
        </is>
      </c>
      <c r="B237" s="21" t="inlineStr">
        <is>
          <t>2026-01-09</t>
        </is>
      </c>
      <c r="C237" s="21" t="inlineStr">
        <is>
          <t>PD-008-XS</t>
        </is>
      </c>
      <c r="D237" s="21" t="inlineStr">
        <is>
          <t>PD-008</t>
        </is>
      </c>
      <c r="E237" s="12" t="inlineStr">
        <is>
          <t>Tuscan Sun Silk Skirt</t>
        </is>
      </c>
      <c r="F237" s="12" t="inlineStr">
        <is>
          <t>Skirts</t>
        </is>
      </c>
      <c r="G237" s="21" t="inlineStr">
        <is>
          <t>XS</t>
        </is>
      </c>
      <c r="H237" s="13" t="n">
        <v>3</v>
      </c>
      <c r="I237" s="14" t="n">
        <v>4500</v>
      </c>
      <c r="J237" s="14">
        <f>H237*I237</f>
        <v/>
      </c>
      <c r="K237" s="14" t="n">
        <v>1600</v>
      </c>
      <c r="L237" s="14">
        <f>H237*K237</f>
        <v/>
      </c>
      <c r="M237" s="14">
        <f>J237-L237</f>
        <v/>
      </c>
      <c r="N237" s="21" t="inlineStr">
        <is>
          <t>WH-BLR-02</t>
        </is>
      </c>
      <c r="O237" s="21" t="inlineStr">
        <is>
          <t>Online Store</t>
        </is>
      </c>
    </row>
    <row r="238" ht="19" customHeight="1">
      <c r="A238" s="20" t="inlineStr">
        <is>
          <t>ORD-2025065</t>
        </is>
      </c>
      <c r="B238" s="20" t="inlineStr">
        <is>
          <t>2026-01-12</t>
        </is>
      </c>
      <c r="C238" s="20" t="inlineStr">
        <is>
          <t>PD-010-XL</t>
        </is>
      </c>
      <c r="D238" s="20" t="inlineStr">
        <is>
          <t>PD-010</t>
        </is>
      </c>
      <c r="E238" s="9" t="inlineStr">
        <is>
          <t>Noir Tailored Blazer</t>
        </is>
      </c>
      <c r="F238" s="9" t="inlineStr">
        <is>
          <t>Outerwear</t>
        </is>
      </c>
      <c r="G238" s="20" t="inlineStr">
        <is>
          <t>XL</t>
        </is>
      </c>
      <c r="H238" s="10" t="n">
        <v>5</v>
      </c>
      <c r="I238" s="11" t="n">
        <v>11000</v>
      </c>
      <c r="J238" s="11">
        <f>H238*I238</f>
        <v/>
      </c>
      <c r="K238" s="11" t="n">
        <v>4200</v>
      </c>
      <c r="L238" s="11">
        <f>H238*K238</f>
        <v/>
      </c>
      <c r="M238" s="11">
        <f>J238-L238</f>
        <v/>
      </c>
      <c r="N238" s="20" t="inlineStr">
        <is>
          <t>WH-BLR-02</t>
        </is>
      </c>
      <c r="O238" s="20" t="inlineStr">
        <is>
          <t>Mobile App</t>
        </is>
      </c>
    </row>
    <row r="239" ht="19" customHeight="1">
      <c r="A239" s="21" t="inlineStr">
        <is>
          <t>ORD-2025143</t>
        </is>
      </c>
      <c r="B239" s="21" t="inlineStr">
        <is>
          <t>2026-01-12</t>
        </is>
      </c>
      <c r="C239" s="21" t="inlineStr">
        <is>
          <t>PD-004-S</t>
        </is>
      </c>
      <c r="D239" s="21" t="inlineStr">
        <is>
          <t>PD-004</t>
        </is>
      </c>
      <c r="E239" s="12" t="inlineStr">
        <is>
          <t>Rosé Off-Shoulder Mini</t>
        </is>
      </c>
      <c r="F239" s="12" t="inlineStr">
        <is>
          <t>Dresses</t>
        </is>
      </c>
      <c r="G239" s="21" t="inlineStr">
        <is>
          <t>S</t>
        </is>
      </c>
      <c r="H239" s="13" t="n">
        <v>3</v>
      </c>
      <c r="I239" s="14" t="n">
        <v>4900</v>
      </c>
      <c r="J239" s="14">
        <f>H239*I239</f>
        <v/>
      </c>
      <c r="K239" s="14" t="n">
        <v>1800</v>
      </c>
      <c r="L239" s="14">
        <f>H239*K239</f>
        <v/>
      </c>
      <c r="M239" s="14">
        <f>J239-L239</f>
        <v/>
      </c>
      <c r="N239" s="21" t="inlineStr">
        <is>
          <t>WH-BLR-02</t>
        </is>
      </c>
      <c r="O239" s="21" t="inlineStr">
        <is>
          <t>Mobile App</t>
        </is>
      </c>
    </row>
    <row r="240" ht="19" customHeight="1">
      <c r="A240" s="20" t="inlineStr">
        <is>
          <t>ORD-2025260</t>
        </is>
      </c>
      <c r="B240" s="20" t="inlineStr">
        <is>
          <t>2026-01-14</t>
        </is>
      </c>
      <c r="C240" s="20" t="inlineStr">
        <is>
          <t>PD-001-L</t>
        </is>
      </c>
      <c r="D240" s="20" t="inlineStr">
        <is>
          <t>PD-001</t>
        </is>
      </c>
      <c r="E240" s="9" t="inlineStr">
        <is>
          <t>Cabernet Velvet Gown</t>
        </is>
      </c>
      <c r="F240" s="9" t="inlineStr">
        <is>
          <t>Dresses</t>
        </is>
      </c>
      <c r="G240" s="20" t="inlineStr">
        <is>
          <t>L</t>
        </is>
      </c>
      <c r="H240" s="10" t="n">
        <v>4</v>
      </c>
      <c r="I240" s="11" t="n">
        <v>8500</v>
      </c>
      <c r="J240" s="11">
        <f>H240*I240</f>
        <v/>
      </c>
      <c r="K240" s="11" t="n">
        <v>3200</v>
      </c>
      <c r="L240" s="11">
        <f>H240*K240</f>
        <v/>
      </c>
      <c r="M240" s="11">
        <f>J240-L240</f>
        <v/>
      </c>
      <c r="N240" s="20" t="inlineStr">
        <is>
          <t>WH-BLR-02</t>
        </is>
      </c>
      <c r="O240" s="20" t="inlineStr">
        <is>
          <t>Online Store</t>
        </is>
      </c>
    </row>
    <row r="241" ht="19" customHeight="1">
      <c r="A241" s="21" t="inlineStr">
        <is>
          <t>ORD-2025157</t>
        </is>
      </c>
      <c r="B241" s="21" t="inlineStr">
        <is>
          <t>2026-01-15</t>
        </is>
      </c>
      <c r="C241" s="21" t="inlineStr">
        <is>
          <t>PD-003-S</t>
        </is>
      </c>
      <c r="D241" s="21" t="inlineStr">
        <is>
          <t>PD-003</t>
        </is>
      </c>
      <c r="E241" s="12" t="inlineStr">
        <is>
          <t>Bordeaux Lace Midi</t>
        </is>
      </c>
      <c r="F241" s="12" t="inlineStr">
        <is>
          <t>Dresses</t>
        </is>
      </c>
      <c r="G241" s="21" t="inlineStr">
        <is>
          <t>S</t>
        </is>
      </c>
      <c r="H241" s="13" t="n">
        <v>3</v>
      </c>
      <c r="I241" s="14" t="n">
        <v>7800</v>
      </c>
      <c r="J241" s="14">
        <f>H241*I241</f>
        <v/>
      </c>
      <c r="K241" s="14" t="n">
        <v>2800</v>
      </c>
      <c r="L241" s="14">
        <f>H241*K241</f>
        <v/>
      </c>
      <c r="M241" s="14">
        <f>J241-L241</f>
        <v/>
      </c>
      <c r="N241" s="21" t="inlineStr">
        <is>
          <t>WH-HYD-01</t>
        </is>
      </c>
      <c r="O241" s="21" t="inlineStr">
        <is>
          <t>Mobile App</t>
        </is>
      </c>
    </row>
    <row r="242" ht="19" customHeight="1">
      <c r="A242" s="20" t="inlineStr">
        <is>
          <t>ORD-2025136</t>
        </is>
      </c>
      <c r="B242" s="20" t="inlineStr">
        <is>
          <t>2026-01-16</t>
        </is>
      </c>
      <c r="C242" s="20" t="inlineStr">
        <is>
          <t>PD-009-XS</t>
        </is>
      </c>
      <c r="D242" s="20" t="inlineStr">
        <is>
          <t>PD-009</t>
        </is>
      </c>
      <c r="E242" s="9" t="inlineStr">
        <is>
          <t>Syrah Pleated Maxi Skirt</t>
        </is>
      </c>
      <c r="F242" s="9" t="inlineStr">
        <is>
          <t>Skirts</t>
        </is>
      </c>
      <c r="G242" s="20" t="inlineStr">
        <is>
          <t>XS</t>
        </is>
      </c>
      <c r="H242" s="10" t="n">
        <v>4</v>
      </c>
      <c r="I242" s="11" t="n">
        <v>5400</v>
      </c>
      <c r="J242" s="11">
        <f>H242*I242</f>
        <v/>
      </c>
      <c r="K242" s="11" t="n">
        <v>1900</v>
      </c>
      <c r="L242" s="11">
        <f>H242*K242</f>
        <v/>
      </c>
      <c r="M242" s="11">
        <f>J242-L242</f>
        <v/>
      </c>
      <c r="N242" s="20" t="inlineStr">
        <is>
          <t>WH-DEL-03</t>
        </is>
      </c>
      <c r="O242" s="20" t="inlineStr">
        <is>
          <t>Online Store</t>
        </is>
      </c>
    </row>
    <row r="243" ht="19" customHeight="1">
      <c r="A243" s="21" t="inlineStr">
        <is>
          <t>ORD-2025194</t>
        </is>
      </c>
      <c r="B243" s="21" t="inlineStr">
        <is>
          <t>2026-01-16</t>
        </is>
      </c>
      <c r="C243" s="21" t="inlineStr">
        <is>
          <t>PD-008-XL</t>
        </is>
      </c>
      <c r="D243" s="21" t="inlineStr">
        <is>
          <t>PD-008</t>
        </is>
      </c>
      <c r="E243" s="12" t="inlineStr">
        <is>
          <t>Tuscan Sun Silk Skirt</t>
        </is>
      </c>
      <c r="F243" s="12" t="inlineStr">
        <is>
          <t>Skirts</t>
        </is>
      </c>
      <c r="G243" s="21" t="inlineStr">
        <is>
          <t>XL</t>
        </is>
      </c>
      <c r="H243" s="13" t="n">
        <v>4</v>
      </c>
      <c r="I243" s="14" t="n">
        <v>4500</v>
      </c>
      <c r="J243" s="14">
        <f>H243*I243</f>
        <v/>
      </c>
      <c r="K243" s="14" t="n">
        <v>1600</v>
      </c>
      <c r="L243" s="14">
        <f>H243*K243</f>
        <v/>
      </c>
      <c r="M243" s="14">
        <f>J243-L243</f>
        <v/>
      </c>
      <c r="N243" s="21" t="inlineStr">
        <is>
          <t>WH-DEL-03</t>
        </is>
      </c>
      <c r="O243" s="21" t="inlineStr">
        <is>
          <t>Retail Store</t>
        </is>
      </c>
    </row>
    <row r="244" ht="19" customHeight="1">
      <c r="A244" s="20" t="inlineStr">
        <is>
          <t>ORD-2025293</t>
        </is>
      </c>
      <c r="B244" s="20" t="inlineStr">
        <is>
          <t>2026-01-19</t>
        </is>
      </c>
      <c r="C244" s="20" t="inlineStr">
        <is>
          <t>PD-002-M</t>
        </is>
      </c>
      <c r="D244" s="20" t="inlineStr">
        <is>
          <t>PD-002</t>
        </is>
      </c>
      <c r="E244" s="9" t="inlineStr">
        <is>
          <t>Merlot Satin Slip Dress</t>
        </is>
      </c>
      <c r="F244" s="9" t="inlineStr">
        <is>
          <t>Dresses</t>
        </is>
      </c>
      <c r="G244" s="20" t="inlineStr">
        <is>
          <t>M</t>
        </is>
      </c>
      <c r="H244" s="10" t="n">
        <v>3</v>
      </c>
      <c r="I244" s="11" t="n">
        <v>6200</v>
      </c>
      <c r="J244" s="11">
        <f>H244*I244</f>
        <v/>
      </c>
      <c r="K244" s="11" t="n">
        <v>2100</v>
      </c>
      <c r="L244" s="11">
        <f>H244*K244</f>
        <v/>
      </c>
      <c r="M244" s="11">
        <f>J244-L244</f>
        <v/>
      </c>
      <c r="N244" s="20" t="inlineStr">
        <is>
          <t>WH-DEL-03</t>
        </is>
      </c>
      <c r="O244" s="20" t="inlineStr">
        <is>
          <t>Online Store</t>
        </is>
      </c>
    </row>
    <row r="245" ht="19" customHeight="1">
      <c r="A245" s="21" t="inlineStr">
        <is>
          <t>ORD-2025423</t>
        </is>
      </c>
      <c r="B245" s="21" t="inlineStr">
        <is>
          <t>2026-01-19</t>
        </is>
      </c>
      <c r="C245" s="21" t="inlineStr">
        <is>
          <t>PD-006-XL</t>
        </is>
      </c>
      <c r="D245" s="21" t="inlineStr">
        <is>
          <t>PD-006</t>
        </is>
      </c>
      <c r="E245" s="12" t="inlineStr">
        <is>
          <t>Chiffon Crimson Blouse</t>
        </is>
      </c>
      <c r="F245" s="12" t="inlineStr">
        <is>
          <t>Tops</t>
        </is>
      </c>
      <c r="G245" s="21" t="inlineStr">
        <is>
          <t>XL</t>
        </is>
      </c>
      <c r="H245" s="13" t="n">
        <v>5</v>
      </c>
      <c r="I245" s="14" t="n">
        <v>3200</v>
      </c>
      <c r="J245" s="14">
        <f>H245*I245</f>
        <v/>
      </c>
      <c r="K245" s="14" t="n">
        <v>1100</v>
      </c>
      <c r="L245" s="14">
        <f>H245*K245</f>
        <v/>
      </c>
      <c r="M245" s="14">
        <f>J245-L245</f>
        <v/>
      </c>
      <c r="N245" s="21" t="inlineStr">
        <is>
          <t>WH-HYD-01</t>
        </is>
      </c>
      <c r="O245" s="21" t="inlineStr">
        <is>
          <t>Mobile App</t>
        </is>
      </c>
    </row>
    <row r="246" ht="19" customHeight="1">
      <c r="A246" s="20" t="inlineStr">
        <is>
          <t>ORD-2025050</t>
        </is>
      </c>
      <c r="B246" s="20" t="inlineStr">
        <is>
          <t>2026-01-20</t>
        </is>
      </c>
      <c r="C246" s="20" t="inlineStr">
        <is>
          <t>PD-004-L</t>
        </is>
      </c>
      <c r="D246" s="20" t="inlineStr">
        <is>
          <t>PD-004</t>
        </is>
      </c>
      <c r="E246" s="9" t="inlineStr">
        <is>
          <t>Rosé Off-Shoulder Mini</t>
        </is>
      </c>
      <c r="F246" s="9" t="inlineStr">
        <is>
          <t>Dresses</t>
        </is>
      </c>
      <c r="G246" s="20" t="inlineStr">
        <is>
          <t>L</t>
        </is>
      </c>
      <c r="H246" s="10" t="n">
        <v>2</v>
      </c>
      <c r="I246" s="11" t="n">
        <v>4900</v>
      </c>
      <c r="J246" s="11">
        <f>H246*I246</f>
        <v/>
      </c>
      <c r="K246" s="11" t="n">
        <v>1800</v>
      </c>
      <c r="L246" s="11">
        <f>H246*K246</f>
        <v/>
      </c>
      <c r="M246" s="11">
        <f>J246-L246</f>
        <v/>
      </c>
      <c r="N246" s="20" t="inlineStr">
        <is>
          <t>WH-BLR-02</t>
        </is>
      </c>
      <c r="O246" s="20" t="inlineStr">
        <is>
          <t>Mobile App</t>
        </is>
      </c>
    </row>
    <row r="247" ht="19" customHeight="1">
      <c r="A247" s="21" t="inlineStr">
        <is>
          <t>ORD-2025134</t>
        </is>
      </c>
      <c r="B247" s="21" t="inlineStr">
        <is>
          <t>2026-01-20</t>
        </is>
      </c>
      <c r="C247" s="21" t="inlineStr">
        <is>
          <t>PD-001-XL</t>
        </is>
      </c>
      <c r="D247" s="21" t="inlineStr">
        <is>
          <t>PD-001</t>
        </is>
      </c>
      <c r="E247" s="12" t="inlineStr">
        <is>
          <t>Cabernet Velvet Gown</t>
        </is>
      </c>
      <c r="F247" s="12" t="inlineStr">
        <is>
          <t>Dresses</t>
        </is>
      </c>
      <c r="G247" s="21" t="inlineStr">
        <is>
          <t>XL</t>
        </is>
      </c>
      <c r="H247" s="13" t="n">
        <v>5</v>
      </c>
      <c r="I247" s="14" t="n">
        <v>8500</v>
      </c>
      <c r="J247" s="14">
        <f>H247*I247</f>
        <v/>
      </c>
      <c r="K247" s="14" t="n">
        <v>3200</v>
      </c>
      <c r="L247" s="14">
        <f>H247*K247</f>
        <v/>
      </c>
      <c r="M247" s="14">
        <f>J247-L247</f>
        <v/>
      </c>
      <c r="N247" s="21" t="inlineStr">
        <is>
          <t>WH-DEL-03</t>
        </is>
      </c>
      <c r="O247" s="21" t="inlineStr">
        <is>
          <t>Retail Store</t>
        </is>
      </c>
    </row>
    <row r="248" ht="19" customHeight="1">
      <c r="A248" s="20" t="inlineStr">
        <is>
          <t>ORD-2025287</t>
        </is>
      </c>
      <c r="B248" s="20" t="inlineStr">
        <is>
          <t>2026-01-21</t>
        </is>
      </c>
      <c r="C248" s="20" t="inlineStr">
        <is>
          <t>PD-002-L</t>
        </is>
      </c>
      <c r="D248" s="20" t="inlineStr">
        <is>
          <t>PD-002</t>
        </is>
      </c>
      <c r="E248" s="9" t="inlineStr">
        <is>
          <t>Merlot Satin Slip Dress</t>
        </is>
      </c>
      <c r="F248" s="9" t="inlineStr">
        <is>
          <t>Dresses</t>
        </is>
      </c>
      <c r="G248" s="20" t="inlineStr">
        <is>
          <t>L</t>
        </is>
      </c>
      <c r="H248" s="10" t="n">
        <v>5</v>
      </c>
      <c r="I248" s="11" t="n">
        <v>6200</v>
      </c>
      <c r="J248" s="11">
        <f>H248*I248</f>
        <v/>
      </c>
      <c r="K248" s="11" t="n">
        <v>2100</v>
      </c>
      <c r="L248" s="11">
        <f>H248*K248</f>
        <v/>
      </c>
      <c r="M248" s="11">
        <f>J248-L248</f>
        <v/>
      </c>
      <c r="N248" s="20" t="inlineStr">
        <is>
          <t>WH-HYD-01</t>
        </is>
      </c>
      <c r="O248" s="20" t="inlineStr">
        <is>
          <t>Mobile App</t>
        </is>
      </c>
    </row>
    <row r="249" ht="19" customHeight="1">
      <c r="A249" s="21" t="inlineStr">
        <is>
          <t>ORD-2025365</t>
        </is>
      </c>
      <c r="B249" s="21" t="inlineStr">
        <is>
          <t>2026-01-21</t>
        </is>
      </c>
      <c r="C249" s="21" t="inlineStr">
        <is>
          <t>PD-008-XS</t>
        </is>
      </c>
      <c r="D249" s="21" t="inlineStr">
        <is>
          <t>PD-008</t>
        </is>
      </c>
      <c r="E249" s="12" t="inlineStr">
        <is>
          <t>Tuscan Sun Silk Skirt</t>
        </is>
      </c>
      <c r="F249" s="12" t="inlineStr">
        <is>
          <t>Skirts</t>
        </is>
      </c>
      <c r="G249" s="21" t="inlineStr">
        <is>
          <t>XS</t>
        </is>
      </c>
      <c r="H249" s="13" t="n">
        <v>1</v>
      </c>
      <c r="I249" s="14" t="n">
        <v>4500</v>
      </c>
      <c r="J249" s="14">
        <f>H249*I249</f>
        <v/>
      </c>
      <c r="K249" s="14" t="n">
        <v>1600</v>
      </c>
      <c r="L249" s="14">
        <f>H249*K249</f>
        <v/>
      </c>
      <c r="M249" s="14">
        <f>J249-L249</f>
        <v/>
      </c>
      <c r="N249" s="21" t="inlineStr">
        <is>
          <t>WH-DEL-03</t>
        </is>
      </c>
      <c r="O249" s="21" t="inlineStr">
        <is>
          <t>Mobile App</t>
        </is>
      </c>
    </row>
    <row r="250" ht="19" customHeight="1">
      <c r="A250" s="20" t="inlineStr">
        <is>
          <t>ORD-2025285</t>
        </is>
      </c>
      <c r="B250" s="20" t="inlineStr">
        <is>
          <t>2026-01-22</t>
        </is>
      </c>
      <c r="C250" s="20" t="inlineStr">
        <is>
          <t>PD-002-XL</t>
        </is>
      </c>
      <c r="D250" s="20" t="inlineStr">
        <is>
          <t>PD-002</t>
        </is>
      </c>
      <c r="E250" s="9" t="inlineStr">
        <is>
          <t>Merlot Satin Slip Dress</t>
        </is>
      </c>
      <c r="F250" s="9" t="inlineStr">
        <is>
          <t>Dresses</t>
        </is>
      </c>
      <c r="G250" s="20" t="inlineStr">
        <is>
          <t>XL</t>
        </is>
      </c>
      <c r="H250" s="10" t="n">
        <v>4</v>
      </c>
      <c r="I250" s="11" t="n">
        <v>6200</v>
      </c>
      <c r="J250" s="11">
        <f>H250*I250</f>
        <v/>
      </c>
      <c r="K250" s="11" t="n">
        <v>2100</v>
      </c>
      <c r="L250" s="11">
        <f>H250*K250</f>
        <v/>
      </c>
      <c r="M250" s="11">
        <f>J250-L250</f>
        <v/>
      </c>
      <c r="N250" s="20" t="inlineStr">
        <is>
          <t>WH-HYD-01</t>
        </is>
      </c>
      <c r="O250" s="20" t="inlineStr">
        <is>
          <t>Online Store</t>
        </is>
      </c>
    </row>
    <row r="251" ht="19" customHeight="1">
      <c r="A251" s="21" t="inlineStr">
        <is>
          <t>ORD-2025167</t>
        </is>
      </c>
      <c r="B251" s="21" t="inlineStr">
        <is>
          <t>2026-01-25</t>
        </is>
      </c>
      <c r="C251" s="21" t="inlineStr">
        <is>
          <t>PD-006-L</t>
        </is>
      </c>
      <c r="D251" s="21" t="inlineStr">
        <is>
          <t>PD-006</t>
        </is>
      </c>
      <c r="E251" s="12" t="inlineStr">
        <is>
          <t>Chiffon Crimson Blouse</t>
        </is>
      </c>
      <c r="F251" s="12" t="inlineStr">
        <is>
          <t>Tops</t>
        </is>
      </c>
      <c r="G251" s="21" t="inlineStr">
        <is>
          <t>L</t>
        </is>
      </c>
      <c r="H251" s="13" t="n">
        <v>4</v>
      </c>
      <c r="I251" s="14" t="n">
        <v>3200</v>
      </c>
      <c r="J251" s="14">
        <f>H251*I251</f>
        <v/>
      </c>
      <c r="K251" s="14" t="n">
        <v>1100</v>
      </c>
      <c r="L251" s="14">
        <f>H251*K251</f>
        <v/>
      </c>
      <c r="M251" s="14">
        <f>J251-L251</f>
        <v/>
      </c>
      <c r="N251" s="21" t="inlineStr">
        <is>
          <t>WH-BLR-02</t>
        </is>
      </c>
      <c r="O251" s="21" t="inlineStr">
        <is>
          <t>Mobile App</t>
        </is>
      </c>
    </row>
    <row r="252" ht="19" customHeight="1">
      <c r="A252" s="20" t="inlineStr">
        <is>
          <t>ORD-2025218</t>
        </is>
      </c>
      <c r="B252" s="20" t="inlineStr">
        <is>
          <t>2026-01-25</t>
        </is>
      </c>
      <c r="C252" s="20" t="inlineStr">
        <is>
          <t>PD-005-XS</t>
        </is>
      </c>
      <c r="D252" s="20" t="inlineStr">
        <is>
          <t>PD-005</t>
        </is>
      </c>
      <c r="E252" s="9" t="inlineStr">
        <is>
          <t>Shiraz Wrap Evening Dress</t>
        </is>
      </c>
      <c r="F252" s="9" t="inlineStr">
        <is>
          <t>Dresses</t>
        </is>
      </c>
      <c r="G252" s="20" t="inlineStr">
        <is>
          <t>XS</t>
        </is>
      </c>
      <c r="H252" s="10" t="n">
        <v>4</v>
      </c>
      <c r="I252" s="11" t="n">
        <v>9200</v>
      </c>
      <c r="J252" s="11">
        <f>H252*I252</f>
        <v/>
      </c>
      <c r="K252" s="11" t="n">
        <v>3500</v>
      </c>
      <c r="L252" s="11">
        <f>H252*K252</f>
        <v/>
      </c>
      <c r="M252" s="11">
        <f>J252-L252</f>
        <v/>
      </c>
      <c r="N252" s="20" t="inlineStr">
        <is>
          <t>WH-DEL-03</t>
        </is>
      </c>
      <c r="O252" s="20" t="inlineStr">
        <is>
          <t>Online Store</t>
        </is>
      </c>
    </row>
    <row r="253" ht="19" customHeight="1">
      <c r="A253" s="21" t="inlineStr">
        <is>
          <t>ORD-2025069</t>
        </is>
      </c>
      <c r="B253" s="21" t="inlineStr">
        <is>
          <t>2026-01-26</t>
        </is>
      </c>
      <c r="C253" s="21" t="inlineStr">
        <is>
          <t>PD-001-M</t>
        </is>
      </c>
      <c r="D253" s="21" t="inlineStr">
        <is>
          <t>PD-001</t>
        </is>
      </c>
      <c r="E253" s="12" t="inlineStr">
        <is>
          <t>Cabernet Velvet Gown</t>
        </is>
      </c>
      <c r="F253" s="12" t="inlineStr">
        <is>
          <t>Dresses</t>
        </is>
      </c>
      <c r="G253" s="21" t="inlineStr">
        <is>
          <t>M</t>
        </is>
      </c>
      <c r="H253" s="13" t="n">
        <v>4</v>
      </c>
      <c r="I253" s="14" t="n">
        <v>8500</v>
      </c>
      <c r="J253" s="14">
        <f>H253*I253</f>
        <v/>
      </c>
      <c r="K253" s="14" t="n">
        <v>3200</v>
      </c>
      <c r="L253" s="14">
        <f>H253*K253</f>
        <v/>
      </c>
      <c r="M253" s="14">
        <f>J253-L253</f>
        <v/>
      </c>
      <c r="N253" s="21" t="inlineStr">
        <is>
          <t>WH-HYD-01</t>
        </is>
      </c>
      <c r="O253" s="21" t="inlineStr">
        <is>
          <t>Online Store</t>
        </is>
      </c>
    </row>
    <row r="254" ht="19" customHeight="1">
      <c r="A254" s="20" t="inlineStr">
        <is>
          <t>ORD-2025279</t>
        </is>
      </c>
      <c r="B254" s="20" t="inlineStr">
        <is>
          <t>2026-01-26</t>
        </is>
      </c>
      <c r="C254" s="20" t="inlineStr">
        <is>
          <t>PD-008-L</t>
        </is>
      </c>
      <c r="D254" s="20" t="inlineStr">
        <is>
          <t>PD-008</t>
        </is>
      </c>
      <c r="E254" s="9" t="inlineStr">
        <is>
          <t>Tuscan Sun Silk Skirt</t>
        </is>
      </c>
      <c r="F254" s="9" t="inlineStr">
        <is>
          <t>Skirts</t>
        </is>
      </c>
      <c r="G254" s="20" t="inlineStr">
        <is>
          <t>L</t>
        </is>
      </c>
      <c r="H254" s="10" t="n">
        <v>5</v>
      </c>
      <c r="I254" s="11" t="n">
        <v>4500</v>
      </c>
      <c r="J254" s="11">
        <f>H254*I254</f>
        <v/>
      </c>
      <c r="K254" s="11" t="n">
        <v>1600</v>
      </c>
      <c r="L254" s="11">
        <f>H254*K254</f>
        <v/>
      </c>
      <c r="M254" s="11">
        <f>J254-L254</f>
        <v/>
      </c>
      <c r="N254" s="20" t="inlineStr">
        <is>
          <t>WH-BLR-02</t>
        </is>
      </c>
      <c r="O254" s="20" t="inlineStr">
        <is>
          <t>Retail Store</t>
        </is>
      </c>
    </row>
    <row r="255" ht="19" customHeight="1">
      <c r="A255" s="21" t="inlineStr">
        <is>
          <t>ORD-2025095</t>
        </is>
      </c>
      <c r="B255" s="21" t="inlineStr">
        <is>
          <t>2026-01-27</t>
        </is>
      </c>
      <c r="C255" s="21" t="inlineStr">
        <is>
          <t>PD-007-S</t>
        </is>
      </c>
      <c r="D255" s="21" t="inlineStr">
        <is>
          <t>PD-007</t>
        </is>
      </c>
      <c r="E255" s="12" t="inlineStr">
        <is>
          <t>Burgundy Trench Coat</t>
        </is>
      </c>
      <c r="F255" s="12" t="inlineStr">
        <is>
          <t>Outerwear</t>
        </is>
      </c>
      <c r="G255" s="21" t="inlineStr">
        <is>
          <t>S</t>
        </is>
      </c>
      <c r="H255" s="13" t="n">
        <v>4</v>
      </c>
      <c r="I255" s="14" t="n">
        <v>12500</v>
      </c>
      <c r="J255" s="14">
        <f>H255*I255</f>
        <v/>
      </c>
      <c r="K255" s="14" t="n">
        <v>4800</v>
      </c>
      <c r="L255" s="14">
        <f>H255*K255</f>
        <v/>
      </c>
      <c r="M255" s="14">
        <f>J255-L255</f>
        <v/>
      </c>
      <c r="N255" s="21" t="inlineStr">
        <is>
          <t>WH-HYD-01</t>
        </is>
      </c>
      <c r="O255" s="21" t="inlineStr">
        <is>
          <t>Online Store</t>
        </is>
      </c>
    </row>
    <row r="256" ht="19" customHeight="1">
      <c r="A256" s="20" t="inlineStr">
        <is>
          <t>ORD-2025107</t>
        </is>
      </c>
      <c r="B256" s="20" t="inlineStr">
        <is>
          <t>2026-01-27</t>
        </is>
      </c>
      <c r="C256" s="20" t="inlineStr">
        <is>
          <t>PD-009-XL</t>
        </is>
      </c>
      <c r="D256" s="20" t="inlineStr">
        <is>
          <t>PD-009</t>
        </is>
      </c>
      <c r="E256" s="9" t="inlineStr">
        <is>
          <t>Syrah Pleated Maxi Skirt</t>
        </is>
      </c>
      <c r="F256" s="9" t="inlineStr">
        <is>
          <t>Skirts</t>
        </is>
      </c>
      <c r="G256" s="20" t="inlineStr">
        <is>
          <t>XL</t>
        </is>
      </c>
      <c r="H256" s="10" t="n">
        <v>2</v>
      </c>
      <c r="I256" s="11" t="n">
        <v>5400</v>
      </c>
      <c r="J256" s="11">
        <f>H256*I256</f>
        <v/>
      </c>
      <c r="K256" s="11" t="n">
        <v>1900</v>
      </c>
      <c r="L256" s="11">
        <f>H256*K256</f>
        <v/>
      </c>
      <c r="M256" s="11">
        <f>J256-L256</f>
        <v/>
      </c>
      <c r="N256" s="20" t="inlineStr">
        <is>
          <t>WH-DEL-03</t>
        </is>
      </c>
      <c r="O256" s="20" t="inlineStr">
        <is>
          <t>Online Store</t>
        </is>
      </c>
    </row>
    <row r="257" ht="19" customHeight="1">
      <c r="A257" s="21" t="inlineStr">
        <is>
          <t>ORD-2025203</t>
        </is>
      </c>
      <c r="B257" s="21" t="inlineStr">
        <is>
          <t>2026-01-27</t>
        </is>
      </c>
      <c r="C257" s="21" t="inlineStr">
        <is>
          <t>PD-003-M</t>
        </is>
      </c>
      <c r="D257" s="21" t="inlineStr">
        <is>
          <t>PD-003</t>
        </is>
      </c>
      <c r="E257" s="12" t="inlineStr">
        <is>
          <t>Bordeaux Lace Midi</t>
        </is>
      </c>
      <c r="F257" s="12" t="inlineStr">
        <is>
          <t>Dresses</t>
        </is>
      </c>
      <c r="G257" s="21" t="inlineStr">
        <is>
          <t>M</t>
        </is>
      </c>
      <c r="H257" s="13" t="n">
        <v>5</v>
      </c>
      <c r="I257" s="14" t="n">
        <v>7800</v>
      </c>
      <c r="J257" s="14">
        <f>H257*I257</f>
        <v/>
      </c>
      <c r="K257" s="14" t="n">
        <v>2800</v>
      </c>
      <c r="L257" s="14">
        <f>H257*K257</f>
        <v/>
      </c>
      <c r="M257" s="14">
        <f>J257-L257</f>
        <v/>
      </c>
      <c r="N257" s="21" t="inlineStr">
        <is>
          <t>WH-DEL-03</t>
        </is>
      </c>
      <c r="O257" s="21" t="inlineStr">
        <is>
          <t>Mobile App</t>
        </is>
      </c>
    </row>
    <row r="258" ht="19" customHeight="1">
      <c r="A258" s="20" t="inlineStr">
        <is>
          <t>ORD-2025003</t>
        </is>
      </c>
      <c r="B258" s="20" t="inlineStr">
        <is>
          <t>2026-01-28</t>
        </is>
      </c>
      <c r="C258" s="20" t="inlineStr">
        <is>
          <t>PD-005-XL</t>
        </is>
      </c>
      <c r="D258" s="20" t="inlineStr">
        <is>
          <t>PD-005</t>
        </is>
      </c>
      <c r="E258" s="9" t="inlineStr">
        <is>
          <t>Shiraz Wrap Evening Dress</t>
        </is>
      </c>
      <c r="F258" s="9" t="inlineStr">
        <is>
          <t>Dresses</t>
        </is>
      </c>
      <c r="G258" s="20" t="inlineStr">
        <is>
          <t>XL</t>
        </is>
      </c>
      <c r="H258" s="10" t="n">
        <v>5</v>
      </c>
      <c r="I258" s="11" t="n">
        <v>9200</v>
      </c>
      <c r="J258" s="11">
        <f>H258*I258</f>
        <v/>
      </c>
      <c r="K258" s="11" t="n">
        <v>3500</v>
      </c>
      <c r="L258" s="11">
        <f>H258*K258</f>
        <v/>
      </c>
      <c r="M258" s="11">
        <f>J258-L258</f>
        <v/>
      </c>
      <c r="N258" s="20" t="inlineStr">
        <is>
          <t>WH-BLR-02</t>
        </is>
      </c>
      <c r="O258" s="20" t="inlineStr">
        <is>
          <t>Mobile App</t>
        </is>
      </c>
    </row>
    <row r="259" ht="19" customHeight="1">
      <c r="A259" s="21" t="inlineStr">
        <is>
          <t>ORD-2025077</t>
        </is>
      </c>
      <c r="B259" s="21" t="inlineStr">
        <is>
          <t>2026-01-28</t>
        </is>
      </c>
      <c r="C259" s="21" t="inlineStr">
        <is>
          <t>PD-008-S</t>
        </is>
      </c>
      <c r="D259" s="21" t="inlineStr">
        <is>
          <t>PD-008</t>
        </is>
      </c>
      <c r="E259" s="12" t="inlineStr">
        <is>
          <t>Tuscan Sun Silk Skirt</t>
        </is>
      </c>
      <c r="F259" s="12" t="inlineStr">
        <is>
          <t>Skirts</t>
        </is>
      </c>
      <c r="G259" s="21" t="inlineStr">
        <is>
          <t>S</t>
        </is>
      </c>
      <c r="H259" s="13" t="n">
        <v>2</v>
      </c>
      <c r="I259" s="14" t="n">
        <v>4500</v>
      </c>
      <c r="J259" s="14">
        <f>H259*I259</f>
        <v/>
      </c>
      <c r="K259" s="14" t="n">
        <v>1600</v>
      </c>
      <c r="L259" s="14">
        <f>H259*K259</f>
        <v/>
      </c>
      <c r="M259" s="14">
        <f>J259-L259</f>
        <v/>
      </c>
      <c r="N259" s="21" t="inlineStr">
        <is>
          <t>WH-BLR-02</t>
        </is>
      </c>
      <c r="O259" s="21" t="inlineStr">
        <is>
          <t>Online Store</t>
        </is>
      </c>
    </row>
    <row r="260" ht="19" customHeight="1">
      <c r="A260" s="20" t="inlineStr">
        <is>
          <t>ORD-2025370</t>
        </is>
      </c>
      <c r="B260" s="20" t="inlineStr">
        <is>
          <t>2026-01-28</t>
        </is>
      </c>
      <c r="C260" s="20" t="inlineStr">
        <is>
          <t>PD-002-XS</t>
        </is>
      </c>
      <c r="D260" s="20" t="inlineStr">
        <is>
          <t>PD-002</t>
        </is>
      </c>
      <c r="E260" s="9" t="inlineStr">
        <is>
          <t>Merlot Satin Slip Dress</t>
        </is>
      </c>
      <c r="F260" s="9" t="inlineStr">
        <is>
          <t>Dresses</t>
        </is>
      </c>
      <c r="G260" s="20" t="inlineStr">
        <is>
          <t>XS</t>
        </is>
      </c>
      <c r="H260" s="10" t="n">
        <v>3</v>
      </c>
      <c r="I260" s="11" t="n">
        <v>6200</v>
      </c>
      <c r="J260" s="11">
        <f>H260*I260</f>
        <v/>
      </c>
      <c r="K260" s="11" t="n">
        <v>2100</v>
      </c>
      <c r="L260" s="11">
        <f>H260*K260</f>
        <v/>
      </c>
      <c r="M260" s="11">
        <f>J260-L260</f>
        <v/>
      </c>
      <c r="N260" s="20" t="inlineStr">
        <is>
          <t>WH-HYD-01</t>
        </is>
      </c>
      <c r="O260" s="20" t="inlineStr">
        <is>
          <t>Online Store</t>
        </is>
      </c>
    </row>
    <row r="261" ht="19" customHeight="1">
      <c r="A261" s="21" t="inlineStr">
        <is>
          <t>ORD-2025342</t>
        </is>
      </c>
      <c r="B261" s="21" t="inlineStr">
        <is>
          <t>2026-01-29</t>
        </is>
      </c>
      <c r="C261" s="21" t="inlineStr">
        <is>
          <t>PD-006-S</t>
        </is>
      </c>
      <c r="D261" s="21" t="inlineStr">
        <is>
          <t>PD-006</t>
        </is>
      </c>
      <c r="E261" s="12" t="inlineStr">
        <is>
          <t>Chiffon Crimson Blouse</t>
        </is>
      </c>
      <c r="F261" s="12" t="inlineStr">
        <is>
          <t>Tops</t>
        </is>
      </c>
      <c r="G261" s="21" t="inlineStr">
        <is>
          <t>S</t>
        </is>
      </c>
      <c r="H261" s="13" t="n">
        <v>3</v>
      </c>
      <c r="I261" s="14" t="n">
        <v>3200</v>
      </c>
      <c r="J261" s="14">
        <f>H261*I261</f>
        <v/>
      </c>
      <c r="K261" s="14" t="n">
        <v>1100</v>
      </c>
      <c r="L261" s="14">
        <f>H261*K261</f>
        <v/>
      </c>
      <c r="M261" s="14">
        <f>J261-L261</f>
        <v/>
      </c>
      <c r="N261" s="21" t="inlineStr">
        <is>
          <t>WH-DEL-03</t>
        </is>
      </c>
      <c r="O261" s="21" t="inlineStr">
        <is>
          <t>Mobile App</t>
        </is>
      </c>
    </row>
    <row r="262" ht="19" customHeight="1">
      <c r="A262" s="20" t="inlineStr">
        <is>
          <t>ORD-2025414</t>
        </is>
      </c>
      <c r="B262" s="20" t="inlineStr">
        <is>
          <t>2026-01-29</t>
        </is>
      </c>
      <c r="C262" s="20" t="inlineStr">
        <is>
          <t>PD-008-XS</t>
        </is>
      </c>
      <c r="D262" s="20" t="inlineStr">
        <is>
          <t>PD-008</t>
        </is>
      </c>
      <c r="E262" s="9" t="inlineStr">
        <is>
          <t>Tuscan Sun Silk Skirt</t>
        </is>
      </c>
      <c r="F262" s="9" t="inlineStr">
        <is>
          <t>Skirts</t>
        </is>
      </c>
      <c r="G262" s="20" t="inlineStr">
        <is>
          <t>XS</t>
        </is>
      </c>
      <c r="H262" s="10" t="n">
        <v>1</v>
      </c>
      <c r="I262" s="11" t="n">
        <v>4500</v>
      </c>
      <c r="J262" s="11">
        <f>H262*I262</f>
        <v/>
      </c>
      <c r="K262" s="11" t="n">
        <v>1600</v>
      </c>
      <c r="L262" s="11">
        <f>H262*K262</f>
        <v/>
      </c>
      <c r="M262" s="11">
        <f>J262-L262</f>
        <v/>
      </c>
      <c r="N262" s="20" t="inlineStr">
        <is>
          <t>WH-BLR-02</t>
        </is>
      </c>
      <c r="O262" s="20" t="inlineStr">
        <is>
          <t>Retail Store</t>
        </is>
      </c>
    </row>
    <row r="263" ht="19" customHeight="1">
      <c r="A263" s="21" t="inlineStr">
        <is>
          <t>ORD-2025110</t>
        </is>
      </c>
      <c r="B263" s="21" t="inlineStr">
        <is>
          <t>2026-01-30</t>
        </is>
      </c>
      <c r="C263" s="21" t="inlineStr">
        <is>
          <t>PD-010-XL</t>
        </is>
      </c>
      <c r="D263" s="21" t="inlineStr">
        <is>
          <t>PD-010</t>
        </is>
      </c>
      <c r="E263" s="12" t="inlineStr">
        <is>
          <t>Noir Tailored Blazer</t>
        </is>
      </c>
      <c r="F263" s="12" t="inlineStr">
        <is>
          <t>Outerwear</t>
        </is>
      </c>
      <c r="G263" s="21" t="inlineStr">
        <is>
          <t>XL</t>
        </is>
      </c>
      <c r="H263" s="13" t="n">
        <v>5</v>
      </c>
      <c r="I263" s="14" t="n">
        <v>11000</v>
      </c>
      <c r="J263" s="14">
        <f>H263*I263</f>
        <v/>
      </c>
      <c r="K263" s="14" t="n">
        <v>4200</v>
      </c>
      <c r="L263" s="14">
        <f>H263*K263</f>
        <v/>
      </c>
      <c r="M263" s="14">
        <f>J263-L263</f>
        <v/>
      </c>
      <c r="N263" s="21" t="inlineStr">
        <is>
          <t>WH-DEL-03</t>
        </is>
      </c>
      <c r="O263" s="21" t="inlineStr">
        <is>
          <t>Online Store</t>
        </is>
      </c>
    </row>
    <row r="264" ht="19" customHeight="1">
      <c r="A264" s="20" t="inlineStr">
        <is>
          <t>ORD-2025117</t>
        </is>
      </c>
      <c r="B264" s="20" t="inlineStr">
        <is>
          <t>2026-02-01</t>
        </is>
      </c>
      <c r="C264" s="20" t="inlineStr">
        <is>
          <t>PD-008-M</t>
        </is>
      </c>
      <c r="D264" s="20" t="inlineStr">
        <is>
          <t>PD-008</t>
        </is>
      </c>
      <c r="E264" s="9" t="inlineStr">
        <is>
          <t>Tuscan Sun Silk Skirt</t>
        </is>
      </c>
      <c r="F264" s="9" t="inlineStr">
        <is>
          <t>Skirts</t>
        </is>
      </c>
      <c r="G264" s="20" t="inlineStr">
        <is>
          <t>M</t>
        </is>
      </c>
      <c r="H264" s="10" t="n">
        <v>5</v>
      </c>
      <c r="I264" s="11" t="n">
        <v>4500</v>
      </c>
      <c r="J264" s="11">
        <f>H264*I264</f>
        <v/>
      </c>
      <c r="K264" s="11" t="n">
        <v>1600</v>
      </c>
      <c r="L264" s="11">
        <f>H264*K264</f>
        <v/>
      </c>
      <c r="M264" s="11">
        <f>J264-L264</f>
        <v/>
      </c>
      <c r="N264" s="20" t="inlineStr">
        <is>
          <t>WH-DEL-03</t>
        </is>
      </c>
      <c r="O264" s="20" t="inlineStr">
        <is>
          <t>Online Store</t>
        </is>
      </c>
    </row>
    <row r="265" ht="19" customHeight="1">
      <c r="A265" s="21" t="inlineStr">
        <is>
          <t>ORD-2025046</t>
        </is>
      </c>
      <c r="B265" s="21" t="inlineStr">
        <is>
          <t>2026-02-02</t>
        </is>
      </c>
      <c r="C265" s="21" t="inlineStr">
        <is>
          <t>PD-002-L</t>
        </is>
      </c>
      <c r="D265" s="21" t="inlineStr">
        <is>
          <t>PD-002</t>
        </is>
      </c>
      <c r="E265" s="12" t="inlineStr">
        <is>
          <t>Merlot Satin Slip Dress</t>
        </is>
      </c>
      <c r="F265" s="12" t="inlineStr">
        <is>
          <t>Dresses</t>
        </is>
      </c>
      <c r="G265" s="21" t="inlineStr">
        <is>
          <t>L</t>
        </is>
      </c>
      <c r="H265" s="13" t="n">
        <v>3</v>
      </c>
      <c r="I265" s="14" t="n">
        <v>6200</v>
      </c>
      <c r="J265" s="14">
        <f>H265*I265</f>
        <v/>
      </c>
      <c r="K265" s="14" t="n">
        <v>2100</v>
      </c>
      <c r="L265" s="14">
        <f>H265*K265</f>
        <v/>
      </c>
      <c r="M265" s="14">
        <f>J265-L265</f>
        <v/>
      </c>
      <c r="N265" s="21" t="inlineStr">
        <is>
          <t>WH-BLR-02</t>
        </is>
      </c>
      <c r="O265" s="21" t="inlineStr">
        <is>
          <t>Retail Store</t>
        </is>
      </c>
    </row>
    <row r="266" ht="19" customHeight="1">
      <c r="A266" s="20" t="inlineStr">
        <is>
          <t>ORD-2025235</t>
        </is>
      </c>
      <c r="B266" s="20" t="inlineStr">
        <is>
          <t>2026-02-02</t>
        </is>
      </c>
      <c r="C266" s="20" t="inlineStr">
        <is>
          <t>PD-004-M</t>
        </is>
      </c>
      <c r="D266" s="20" t="inlineStr">
        <is>
          <t>PD-004</t>
        </is>
      </c>
      <c r="E266" s="9" t="inlineStr">
        <is>
          <t>Rosé Off-Shoulder Mini</t>
        </is>
      </c>
      <c r="F266" s="9" t="inlineStr">
        <is>
          <t>Dresses</t>
        </is>
      </c>
      <c r="G266" s="20" t="inlineStr">
        <is>
          <t>M</t>
        </is>
      </c>
      <c r="H266" s="10" t="n">
        <v>1</v>
      </c>
      <c r="I266" s="11" t="n">
        <v>4900</v>
      </c>
      <c r="J266" s="11">
        <f>H266*I266</f>
        <v/>
      </c>
      <c r="K266" s="11" t="n">
        <v>1800</v>
      </c>
      <c r="L266" s="11">
        <f>H266*K266</f>
        <v/>
      </c>
      <c r="M266" s="11">
        <f>J266-L266</f>
        <v/>
      </c>
      <c r="N266" s="20" t="inlineStr">
        <is>
          <t>WH-DEL-03</t>
        </is>
      </c>
      <c r="O266" s="20" t="inlineStr">
        <is>
          <t>Mobile App</t>
        </is>
      </c>
    </row>
    <row r="267" ht="19" customHeight="1">
      <c r="A267" s="21" t="inlineStr">
        <is>
          <t>ORD-2025247</t>
        </is>
      </c>
      <c r="B267" s="21" t="inlineStr">
        <is>
          <t>2026-02-02</t>
        </is>
      </c>
      <c r="C267" s="21" t="inlineStr">
        <is>
          <t>PD-001-XS</t>
        </is>
      </c>
      <c r="D267" s="21" t="inlineStr">
        <is>
          <t>PD-001</t>
        </is>
      </c>
      <c r="E267" s="12" t="inlineStr">
        <is>
          <t>Cabernet Velvet Gown</t>
        </is>
      </c>
      <c r="F267" s="12" t="inlineStr">
        <is>
          <t>Dresses</t>
        </is>
      </c>
      <c r="G267" s="21" t="inlineStr">
        <is>
          <t>XS</t>
        </is>
      </c>
      <c r="H267" s="13" t="n">
        <v>3</v>
      </c>
      <c r="I267" s="14" t="n">
        <v>8500</v>
      </c>
      <c r="J267" s="14">
        <f>H267*I267</f>
        <v/>
      </c>
      <c r="K267" s="14" t="n">
        <v>3200</v>
      </c>
      <c r="L267" s="14">
        <f>H267*K267</f>
        <v/>
      </c>
      <c r="M267" s="14">
        <f>J267-L267</f>
        <v/>
      </c>
      <c r="N267" s="21" t="inlineStr">
        <is>
          <t>WH-DEL-03</t>
        </is>
      </c>
      <c r="O267" s="21" t="inlineStr">
        <is>
          <t>Online Store</t>
        </is>
      </c>
    </row>
    <row r="268" ht="19" customHeight="1">
      <c r="A268" s="20" t="inlineStr">
        <is>
          <t>ORD-2025393</t>
        </is>
      </c>
      <c r="B268" s="20" t="inlineStr">
        <is>
          <t>2026-02-03</t>
        </is>
      </c>
      <c r="C268" s="20" t="inlineStr">
        <is>
          <t>PD-007-XL</t>
        </is>
      </c>
      <c r="D268" s="20" t="inlineStr">
        <is>
          <t>PD-007</t>
        </is>
      </c>
      <c r="E268" s="9" t="inlineStr">
        <is>
          <t>Burgundy Trench Coat</t>
        </is>
      </c>
      <c r="F268" s="9" t="inlineStr">
        <is>
          <t>Outerwear</t>
        </is>
      </c>
      <c r="G268" s="20" t="inlineStr">
        <is>
          <t>XL</t>
        </is>
      </c>
      <c r="H268" s="10" t="n">
        <v>4</v>
      </c>
      <c r="I268" s="11" t="n">
        <v>12500</v>
      </c>
      <c r="J268" s="11">
        <f>H268*I268</f>
        <v/>
      </c>
      <c r="K268" s="11" t="n">
        <v>4800</v>
      </c>
      <c r="L268" s="11">
        <f>H268*K268</f>
        <v/>
      </c>
      <c r="M268" s="11">
        <f>J268-L268</f>
        <v/>
      </c>
      <c r="N268" s="20" t="inlineStr">
        <is>
          <t>WH-BLR-02</t>
        </is>
      </c>
      <c r="O268" s="20" t="inlineStr">
        <is>
          <t>Online Store</t>
        </is>
      </c>
    </row>
    <row r="269" ht="19" customHeight="1">
      <c r="A269" s="21" t="inlineStr">
        <is>
          <t>ORD-2025017</t>
        </is>
      </c>
      <c r="B269" s="21" t="inlineStr">
        <is>
          <t>2026-02-04</t>
        </is>
      </c>
      <c r="C269" s="21" t="inlineStr">
        <is>
          <t>PD-009-M</t>
        </is>
      </c>
      <c r="D269" s="21" t="inlineStr">
        <is>
          <t>PD-009</t>
        </is>
      </c>
      <c r="E269" s="12" t="inlineStr">
        <is>
          <t>Syrah Pleated Maxi Skirt</t>
        </is>
      </c>
      <c r="F269" s="12" t="inlineStr">
        <is>
          <t>Skirts</t>
        </is>
      </c>
      <c r="G269" s="21" t="inlineStr">
        <is>
          <t>M</t>
        </is>
      </c>
      <c r="H269" s="13" t="n">
        <v>3</v>
      </c>
      <c r="I269" s="14" t="n">
        <v>5400</v>
      </c>
      <c r="J269" s="14">
        <f>H269*I269</f>
        <v/>
      </c>
      <c r="K269" s="14" t="n">
        <v>1900</v>
      </c>
      <c r="L269" s="14">
        <f>H269*K269</f>
        <v/>
      </c>
      <c r="M269" s="14">
        <f>J269-L269</f>
        <v/>
      </c>
      <c r="N269" s="21" t="inlineStr">
        <is>
          <t>WH-BLR-02</t>
        </is>
      </c>
      <c r="O269" s="21" t="inlineStr">
        <is>
          <t>Mobile App</t>
        </is>
      </c>
    </row>
    <row r="270" ht="19" customHeight="1">
      <c r="A270" s="20" t="inlineStr">
        <is>
          <t>ORD-2025445</t>
        </is>
      </c>
      <c r="B270" s="20" t="inlineStr">
        <is>
          <t>2026-02-04</t>
        </is>
      </c>
      <c r="C270" s="20" t="inlineStr">
        <is>
          <t>PD-002-L</t>
        </is>
      </c>
      <c r="D270" s="20" t="inlineStr">
        <is>
          <t>PD-002</t>
        </is>
      </c>
      <c r="E270" s="9" t="inlineStr">
        <is>
          <t>Merlot Satin Slip Dress</t>
        </is>
      </c>
      <c r="F270" s="9" t="inlineStr">
        <is>
          <t>Dresses</t>
        </is>
      </c>
      <c r="G270" s="20" t="inlineStr">
        <is>
          <t>L</t>
        </is>
      </c>
      <c r="H270" s="10" t="n">
        <v>3</v>
      </c>
      <c r="I270" s="11" t="n">
        <v>6200</v>
      </c>
      <c r="J270" s="11">
        <f>H270*I270</f>
        <v/>
      </c>
      <c r="K270" s="11" t="n">
        <v>2100</v>
      </c>
      <c r="L270" s="11">
        <f>H270*K270</f>
        <v/>
      </c>
      <c r="M270" s="11">
        <f>J270-L270</f>
        <v/>
      </c>
      <c r="N270" s="20" t="inlineStr">
        <is>
          <t>WH-DEL-03</t>
        </is>
      </c>
      <c r="O270" s="20" t="inlineStr">
        <is>
          <t>Mobile App</t>
        </is>
      </c>
    </row>
    <row r="271" ht="19" customHeight="1">
      <c r="A271" s="21" t="inlineStr">
        <is>
          <t>ORD-2025190</t>
        </is>
      </c>
      <c r="B271" s="21" t="inlineStr">
        <is>
          <t>2026-02-05</t>
        </is>
      </c>
      <c r="C271" s="21" t="inlineStr">
        <is>
          <t>PD-010-L</t>
        </is>
      </c>
      <c r="D271" s="21" t="inlineStr">
        <is>
          <t>PD-010</t>
        </is>
      </c>
      <c r="E271" s="12" t="inlineStr">
        <is>
          <t>Noir Tailored Blazer</t>
        </is>
      </c>
      <c r="F271" s="12" t="inlineStr">
        <is>
          <t>Outerwear</t>
        </is>
      </c>
      <c r="G271" s="21" t="inlineStr">
        <is>
          <t>L</t>
        </is>
      </c>
      <c r="H271" s="13" t="n">
        <v>5</v>
      </c>
      <c r="I271" s="14" t="n">
        <v>11000</v>
      </c>
      <c r="J271" s="14">
        <f>H271*I271</f>
        <v/>
      </c>
      <c r="K271" s="14" t="n">
        <v>4200</v>
      </c>
      <c r="L271" s="14">
        <f>H271*K271</f>
        <v/>
      </c>
      <c r="M271" s="14">
        <f>J271-L271</f>
        <v/>
      </c>
      <c r="N271" s="21" t="inlineStr">
        <is>
          <t>WH-HYD-01</t>
        </is>
      </c>
      <c r="O271" s="21" t="inlineStr">
        <is>
          <t>Retail Store</t>
        </is>
      </c>
    </row>
    <row r="272" ht="19" customHeight="1">
      <c r="A272" s="20" t="inlineStr">
        <is>
          <t>ORD-2025299</t>
        </is>
      </c>
      <c r="B272" s="20" t="inlineStr">
        <is>
          <t>2026-02-05</t>
        </is>
      </c>
      <c r="C272" s="20" t="inlineStr">
        <is>
          <t>PD-001-XL</t>
        </is>
      </c>
      <c r="D272" s="20" t="inlineStr">
        <is>
          <t>PD-001</t>
        </is>
      </c>
      <c r="E272" s="9" t="inlineStr">
        <is>
          <t>Cabernet Velvet Gown</t>
        </is>
      </c>
      <c r="F272" s="9" t="inlineStr">
        <is>
          <t>Dresses</t>
        </is>
      </c>
      <c r="G272" s="20" t="inlineStr">
        <is>
          <t>XL</t>
        </is>
      </c>
      <c r="H272" s="10" t="n">
        <v>2</v>
      </c>
      <c r="I272" s="11" t="n">
        <v>8500</v>
      </c>
      <c r="J272" s="11">
        <f>H272*I272</f>
        <v/>
      </c>
      <c r="K272" s="11" t="n">
        <v>3200</v>
      </c>
      <c r="L272" s="11">
        <f>H272*K272</f>
        <v/>
      </c>
      <c r="M272" s="11">
        <f>J272-L272</f>
        <v/>
      </c>
      <c r="N272" s="20" t="inlineStr">
        <is>
          <t>WH-DEL-03</t>
        </is>
      </c>
      <c r="O272" s="20" t="inlineStr">
        <is>
          <t>Mobile App</t>
        </is>
      </c>
    </row>
    <row r="273" ht="19" customHeight="1">
      <c r="A273" s="21" t="inlineStr">
        <is>
          <t>ORD-2025192</t>
        </is>
      </c>
      <c r="B273" s="21" t="inlineStr">
        <is>
          <t>2026-02-06</t>
        </is>
      </c>
      <c r="C273" s="21" t="inlineStr">
        <is>
          <t>PD-007-M</t>
        </is>
      </c>
      <c r="D273" s="21" t="inlineStr">
        <is>
          <t>PD-007</t>
        </is>
      </c>
      <c r="E273" s="12" t="inlineStr">
        <is>
          <t>Burgundy Trench Coat</t>
        </is>
      </c>
      <c r="F273" s="12" t="inlineStr">
        <is>
          <t>Outerwear</t>
        </is>
      </c>
      <c r="G273" s="21" t="inlineStr">
        <is>
          <t>M</t>
        </is>
      </c>
      <c r="H273" s="13" t="n">
        <v>1</v>
      </c>
      <c r="I273" s="14" t="n">
        <v>12500</v>
      </c>
      <c r="J273" s="14">
        <f>H273*I273</f>
        <v/>
      </c>
      <c r="K273" s="14" t="n">
        <v>4800</v>
      </c>
      <c r="L273" s="14">
        <f>H273*K273</f>
        <v/>
      </c>
      <c r="M273" s="14">
        <f>J273-L273</f>
        <v/>
      </c>
      <c r="N273" s="21" t="inlineStr">
        <is>
          <t>WH-DEL-03</t>
        </is>
      </c>
      <c r="O273" s="21" t="inlineStr">
        <is>
          <t>Mobile App</t>
        </is>
      </c>
    </row>
    <row r="274" ht="19" customHeight="1">
      <c r="A274" s="20" t="inlineStr">
        <is>
          <t>ORD-2025457</t>
        </is>
      </c>
      <c r="B274" s="20" t="inlineStr">
        <is>
          <t>2026-02-06</t>
        </is>
      </c>
      <c r="C274" s="20" t="inlineStr">
        <is>
          <t>PD-005-L</t>
        </is>
      </c>
      <c r="D274" s="20" t="inlineStr">
        <is>
          <t>PD-005</t>
        </is>
      </c>
      <c r="E274" s="9" t="inlineStr">
        <is>
          <t>Shiraz Wrap Evening Dress</t>
        </is>
      </c>
      <c r="F274" s="9" t="inlineStr">
        <is>
          <t>Dresses</t>
        </is>
      </c>
      <c r="G274" s="20" t="inlineStr">
        <is>
          <t>L</t>
        </is>
      </c>
      <c r="H274" s="10" t="n">
        <v>1</v>
      </c>
      <c r="I274" s="11" t="n">
        <v>9200</v>
      </c>
      <c r="J274" s="11">
        <f>H274*I274</f>
        <v/>
      </c>
      <c r="K274" s="11" t="n">
        <v>3500</v>
      </c>
      <c r="L274" s="11">
        <f>H274*K274</f>
        <v/>
      </c>
      <c r="M274" s="11">
        <f>J274-L274</f>
        <v/>
      </c>
      <c r="N274" s="20" t="inlineStr">
        <is>
          <t>WH-BLR-02</t>
        </is>
      </c>
      <c r="O274" s="20" t="inlineStr">
        <is>
          <t>Online Store</t>
        </is>
      </c>
    </row>
    <row r="275" ht="19" customHeight="1">
      <c r="A275" s="21" t="inlineStr">
        <is>
          <t>ORD-2025318</t>
        </is>
      </c>
      <c r="B275" s="21" t="inlineStr">
        <is>
          <t>2026-02-07</t>
        </is>
      </c>
      <c r="C275" s="21" t="inlineStr">
        <is>
          <t>PD-001-S</t>
        </is>
      </c>
      <c r="D275" s="21" t="inlineStr">
        <is>
          <t>PD-001</t>
        </is>
      </c>
      <c r="E275" s="12" t="inlineStr">
        <is>
          <t>Cabernet Velvet Gown</t>
        </is>
      </c>
      <c r="F275" s="12" t="inlineStr">
        <is>
          <t>Dresses</t>
        </is>
      </c>
      <c r="G275" s="21" t="inlineStr">
        <is>
          <t>S</t>
        </is>
      </c>
      <c r="H275" s="13" t="n">
        <v>3</v>
      </c>
      <c r="I275" s="14" t="n">
        <v>8500</v>
      </c>
      <c r="J275" s="14">
        <f>H275*I275</f>
        <v/>
      </c>
      <c r="K275" s="14" t="n">
        <v>3200</v>
      </c>
      <c r="L275" s="14">
        <f>H275*K275</f>
        <v/>
      </c>
      <c r="M275" s="14">
        <f>J275-L275</f>
        <v/>
      </c>
      <c r="N275" s="21" t="inlineStr">
        <is>
          <t>WH-HYD-01</t>
        </is>
      </c>
      <c r="O275" s="21" t="inlineStr">
        <is>
          <t>Mobile App</t>
        </is>
      </c>
    </row>
    <row r="276" ht="19" customHeight="1">
      <c r="A276" s="20" t="inlineStr">
        <is>
          <t>ORD-2025025</t>
        </is>
      </c>
      <c r="B276" s="20" t="inlineStr">
        <is>
          <t>2026-02-08</t>
        </is>
      </c>
      <c r="C276" s="20" t="inlineStr">
        <is>
          <t>PD-003-M</t>
        </is>
      </c>
      <c r="D276" s="20" t="inlineStr">
        <is>
          <t>PD-003</t>
        </is>
      </c>
      <c r="E276" s="9" t="inlineStr">
        <is>
          <t>Bordeaux Lace Midi</t>
        </is>
      </c>
      <c r="F276" s="9" t="inlineStr">
        <is>
          <t>Dresses</t>
        </is>
      </c>
      <c r="G276" s="20" t="inlineStr">
        <is>
          <t>M</t>
        </is>
      </c>
      <c r="H276" s="10" t="n">
        <v>1</v>
      </c>
      <c r="I276" s="11" t="n">
        <v>7800</v>
      </c>
      <c r="J276" s="11">
        <f>H276*I276</f>
        <v/>
      </c>
      <c r="K276" s="11" t="n">
        <v>2800</v>
      </c>
      <c r="L276" s="11">
        <f>H276*K276</f>
        <v/>
      </c>
      <c r="M276" s="11">
        <f>J276-L276</f>
        <v/>
      </c>
      <c r="N276" s="20" t="inlineStr">
        <is>
          <t>WH-HYD-01</t>
        </is>
      </c>
      <c r="O276" s="20" t="inlineStr">
        <is>
          <t>Mobile App</t>
        </is>
      </c>
    </row>
    <row r="277" ht="19" customHeight="1">
      <c r="A277" s="21" t="inlineStr">
        <is>
          <t>ORD-2025257</t>
        </is>
      </c>
      <c r="B277" s="21" t="inlineStr">
        <is>
          <t>2026-02-08</t>
        </is>
      </c>
      <c r="C277" s="21" t="inlineStr">
        <is>
          <t>PD-004-M</t>
        </is>
      </c>
      <c r="D277" s="21" t="inlineStr">
        <is>
          <t>PD-004</t>
        </is>
      </c>
      <c r="E277" s="12" t="inlineStr">
        <is>
          <t>Rosé Off-Shoulder Mini</t>
        </is>
      </c>
      <c r="F277" s="12" t="inlineStr">
        <is>
          <t>Dresses</t>
        </is>
      </c>
      <c r="G277" s="21" t="inlineStr">
        <is>
          <t>M</t>
        </is>
      </c>
      <c r="H277" s="13" t="n">
        <v>1</v>
      </c>
      <c r="I277" s="14" t="n">
        <v>4900</v>
      </c>
      <c r="J277" s="14">
        <f>H277*I277</f>
        <v/>
      </c>
      <c r="K277" s="14" t="n">
        <v>1800</v>
      </c>
      <c r="L277" s="14">
        <f>H277*K277</f>
        <v/>
      </c>
      <c r="M277" s="14">
        <f>J277-L277</f>
        <v/>
      </c>
      <c r="N277" s="21" t="inlineStr">
        <is>
          <t>WH-DEL-03</t>
        </is>
      </c>
      <c r="O277" s="21" t="inlineStr">
        <is>
          <t>Retail Store</t>
        </is>
      </c>
    </row>
    <row r="278" ht="19" customHeight="1">
      <c r="A278" s="20" t="inlineStr">
        <is>
          <t>ORD-2025172</t>
        </is>
      </c>
      <c r="B278" s="20" t="inlineStr">
        <is>
          <t>2026-02-09</t>
        </is>
      </c>
      <c r="C278" s="20" t="inlineStr">
        <is>
          <t>PD-006-L</t>
        </is>
      </c>
      <c r="D278" s="20" t="inlineStr">
        <is>
          <t>PD-006</t>
        </is>
      </c>
      <c r="E278" s="9" t="inlineStr">
        <is>
          <t>Chiffon Crimson Blouse</t>
        </is>
      </c>
      <c r="F278" s="9" t="inlineStr">
        <is>
          <t>Tops</t>
        </is>
      </c>
      <c r="G278" s="20" t="inlineStr">
        <is>
          <t>L</t>
        </is>
      </c>
      <c r="H278" s="10" t="n">
        <v>5</v>
      </c>
      <c r="I278" s="11" t="n">
        <v>3200</v>
      </c>
      <c r="J278" s="11">
        <f>H278*I278</f>
        <v/>
      </c>
      <c r="K278" s="11" t="n">
        <v>1100</v>
      </c>
      <c r="L278" s="11">
        <f>H278*K278</f>
        <v/>
      </c>
      <c r="M278" s="11">
        <f>J278-L278</f>
        <v/>
      </c>
      <c r="N278" s="20" t="inlineStr">
        <is>
          <t>WH-BLR-02</t>
        </is>
      </c>
      <c r="O278" s="20" t="inlineStr">
        <is>
          <t>Retail Store</t>
        </is>
      </c>
    </row>
    <row r="279" ht="19" customHeight="1">
      <c r="A279" s="21" t="inlineStr">
        <is>
          <t>ORD-2025189</t>
        </is>
      </c>
      <c r="B279" s="21" t="inlineStr">
        <is>
          <t>2026-02-10</t>
        </is>
      </c>
      <c r="C279" s="21" t="inlineStr">
        <is>
          <t>PD-009-XL</t>
        </is>
      </c>
      <c r="D279" s="21" t="inlineStr">
        <is>
          <t>PD-009</t>
        </is>
      </c>
      <c r="E279" s="12" t="inlineStr">
        <is>
          <t>Syrah Pleated Maxi Skirt</t>
        </is>
      </c>
      <c r="F279" s="12" t="inlineStr">
        <is>
          <t>Skirts</t>
        </is>
      </c>
      <c r="G279" s="21" t="inlineStr">
        <is>
          <t>XL</t>
        </is>
      </c>
      <c r="H279" s="13" t="n">
        <v>4</v>
      </c>
      <c r="I279" s="14" t="n">
        <v>5400</v>
      </c>
      <c r="J279" s="14">
        <f>H279*I279</f>
        <v/>
      </c>
      <c r="K279" s="14" t="n">
        <v>1900</v>
      </c>
      <c r="L279" s="14">
        <f>H279*K279</f>
        <v/>
      </c>
      <c r="M279" s="14">
        <f>J279-L279</f>
        <v/>
      </c>
      <c r="N279" s="21" t="inlineStr">
        <is>
          <t>WH-BLR-02</t>
        </is>
      </c>
      <c r="O279" s="21" t="inlineStr">
        <is>
          <t>Mobile App</t>
        </is>
      </c>
    </row>
    <row r="280" ht="19" customHeight="1">
      <c r="A280" s="20" t="inlineStr">
        <is>
          <t>ORD-2025289</t>
        </is>
      </c>
      <c r="B280" s="20" t="inlineStr">
        <is>
          <t>2026-02-10</t>
        </is>
      </c>
      <c r="C280" s="20" t="inlineStr">
        <is>
          <t>PD-005-M</t>
        </is>
      </c>
      <c r="D280" s="20" t="inlineStr">
        <is>
          <t>PD-005</t>
        </is>
      </c>
      <c r="E280" s="9" t="inlineStr">
        <is>
          <t>Shiraz Wrap Evening Dress</t>
        </is>
      </c>
      <c r="F280" s="9" t="inlineStr">
        <is>
          <t>Dresses</t>
        </is>
      </c>
      <c r="G280" s="20" t="inlineStr">
        <is>
          <t>M</t>
        </is>
      </c>
      <c r="H280" s="10" t="n">
        <v>4</v>
      </c>
      <c r="I280" s="11" t="n">
        <v>9200</v>
      </c>
      <c r="J280" s="11">
        <f>H280*I280</f>
        <v/>
      </c>
      <c r="K280" s="11" t="n">
        <v>3500</v>
      </c>
      <c r="L280" s="11">
        <f>H280*K280</f>
        <v/>
      </c>
      <c r="M280" s="11">
        <f>J280-L280</f>
        <v/>
      </c>
      <c r="N280" s="20" t="inlineStr">
        <is>
          <t>WH-DEL-03</t>
        </is>
      </c>
      <c r="O280" s="20" t="inlineStr">
        <is>
          <t>Online Store</t>
        </is>
      </c>
    </row>
    <row r="281" ht="19" customHeight="1">
      <c r="A281" s="21" t="inlineStr">
        <is>
          <t>ORD-2025479</t>
        </is>
      </c>
      <c r="B281" s="21" t="inlineStr">
        <is>
          <t>2026-02-10</t>
        </is>
      </c>
      <c r="C281" s="21" t="inlineStr">
        <is>
          <t>PD-007-M</t>
        </is>
      </c>
      <c r="D281" s="21" t="inlineStr">
        <is>
          <t>PD-007</t>
        </is>
      </c>
      <c r="E281" s="12" t="inlineStr">
        <is>
          <t>Burgundy Trench Coat</t>
        </is>
      </c>
      <c r="F281" s="12" t="inlineStr">
        <is>
          <t>Outerwear</t>
        </is>
      </c>
      <c r="G281" s="21" t="inlineStr">
        <is>
          <t>M</t>
        </is>
      </c>
      <c r="H281" s="13" t="n">
        <v>5</v>
      </c>
      <c r="I281" s="14" t="n">
        <v>12500</v>
      </c>
      <c r="J281" s="14">
        <f>H281*I281</f>
        <v/>
      </c>
      <c r="K281" s="14" t="n">
        <v>4800</v>
      </c>
      <c r="L281" s="14">
        <f>H281*K281</f>
        <v/>
      </c>
      <c r="M281" s="14">
        <f>J281-L281</f>
        <v/>
      </c>
      <c r="N281" s="21" t="inlineStr">
        <is>
          <t>WH-BLR-02</t>
        </is>
      </c>
      <c r="O281" s="21" t="inlineStr">
        <is>
          <t>Mobile App</t>
        </is>
      </c>
    </row>
    <row r="282" ht="19" customHeight="1">
      <c r="A282" s="20" t="inlineStr">
        <is>
          <t>ORD-2025496</t>
        </is>
      </c>
      <c r="B282" s="20" t="inlineStr">
        <is>
          <t>2026-02-11</t>
        </is>
      </c>
      <c r="C282" s="20" t="inlineStr">
        <is>
          <t>PD-005-S</t>
        </is>
      </c>
      <c r="D282" s="20" t="inlineStr">
        <is>
          <t>PD-005</t>
        </is>
      </c>
      <c r="E282" s="9" t="inlineStr">
        <is>
          <t>Shiraz Wrap Evening Dress</t>
        </is>
      </c>
      <c r="F282" s="9" t="inlineStr">
        <is>
          <t>Dresses</t>
        </is>
      </c>
      <c r="G282" s="20" t="inlineStr">
        <is>
          <t>S</t>
        </is>
      </c>
      <c r="H282" s="10" t="n">
        <v>4</v>
      </c>
      <c r="I282" s="11" t="n">
        <v>9200</v>
      </c>
      <c r="J282" s="11">
        <f>H282*I282</f>
        <v/>
      </c>
      <c r="K282" s="11" t="n">
        <v>3500</v>
      </c>
      <c r="L282" s="11">
        <f>H282*K282</f>
        <v/>
      </c>
      <c r="M282" s="11">
        <f>J282-L282</f>
        <v/>
      </c>
      <c r="N282" s="20" t="inlineStr">
        <is>
          <t>WH-HYD-01</t>
        </is>
      </c>
      <c r="O282" s="20" t="inlineStr">
        <is>
          <t>Mobile App</t>
        </is>
      </c>
    </row>
    <row r="283" ht="19" customHeight="1">
      <c r="A283" s="21" t="inlineStr">
        <is>
          <t>ORD-2025306</t>
        </is>
      </c>
      <c r="B283" s="21" t="inlineStr">
        <is>
          <t>2026-02-12</t>
        </is>
      </c>
      <c r="C283" s="21" t="inlineStr">
        <is>
          <t>PD-004-M</t>
        </is>
      </c>
      <c r="D283" s="21" t="inlineStr">
        <is>
          <t>PD-004</t>
        </is>
      </c>
      <c r="E283" s="12" t="inlineStr">
        <is>
          <t>Rosé Off-Shoulder Mini</t>
        </is>
      </c>
      <c r="F283" s="12" t="inlineStr">
        <is>
          <t>Dresses</t>
        </is>
      </c>
      <c r="G283" s="21" t="inlineStr">
        <is>
          <t>M</t>
        </is>
      </c>
      <c r="H283" s="13" t="n">
        <v>2</v>
      </c>
      <c r="I283" s="14" t="n">
        <v>4900</v>
      </c>
      <c r="J283" s="14">
        <f>H283*I283</f>
        <v/>
      </c>
      <c r="K283" s="14" t="n">
        <v>1800</v>
      </c>
      <c r="L283" s="14">
        <f>H283*K283</f>
        <v/>
      </c>
      <c r="M283" s="14">
        <f>J283-L283</f>
        <v/>
      </c>
      <c r="N283" s="21" t="inlineStr">
        <is>
          <t>WH-DEL-03</t>
        </is>
      </c>
      <c r="O283" s="21" t="inlineStr">
        <is>
          <t>Online Store</t>
        </is>
      </c>
    </row>
    <row r="284" ht="19" customHeight="1">
      <c r="A284" s="20" t="inlineStr">
        <is>
          <t>ORD-2025382</t>
        </is>
      </c>
      <c r="B284" s="20" t="inlineStr">
        <is>
          <t>2026-02-13</t>
        </is>
      </c>
      <c r="C284" s="20" t="inlineStr">
        <is>
          <t>PD-003-S</t>
        </is>
      </c>
      <c r="D284" s="20" t="inlineStr">
        <is>
          <t>PD-003</t>
        </is>
      </c>
      <c r="E284" s="9" t="inlineStr">
        <is>
          <t>Bordeaux Lace Midi</t>
        </is>
      </c>
      <c r="F284" s="9" t="inlineStr">
        <is>
          <t>Dresses</t>
        </is>
      </c>
      <c r="G284" s="20" t="inlineStr">
        <is>
          <t>S</t>
        </is>
      </c>
      <c r="H284" s="10" t="n">
        <v>1</v>
      </c>
      <c r="I284" s="11" t="n">
        <v>7800</v>
      </c>
      <c r="J284" s="11">
        <f>H284*I284</f>
        <v/>
      </c>
      <c r="K284" s="11" t="n">
        <v>2800</v>
      </c>
      <c r="L284" s="11">
        <f>H284*K284</f>
        <v/>
      </c>
      <c r="M284" s="11">
        <f>J284-L284</f>
        <v/>
      </c>
      <c r="N284" s="20" t="inlineStr">
        <is>
          <t>WH-DEL-03</t>
        </is>
      </c>
      <c r="O284" s="20" t="inlineStr">
        <is>
          <t>Retail Store</t>
        </is>
      </c>
    </row>
    <row r="285" ht="19" customHeight="1">
      <c r="A285" s="21" t="inlineStr">
        <is>
          <t>ORD-2025471</t>
        </is>
      </c>
      <c r="B285" s="21" t="inlineStr">
        <is>
          <t>2026-02-13</t>
        </is>
      </c>
      <c r="C285" s="21" t="inlineStr">
        <is>
          <t>PD-008-M</t>
        </is>
      </c>
      <c r="D285" s="21" t="inlineStr">
        <is>
          <t>PD-008</t>
        </is>
      </c>
      <c r="E285" s="12" t="inlineStr">
        <is>
          <t>Tuscan Sun Silk Skirt</t>
        </is>
      </c>
      <c r="F285" s="12" t="inlineStr">
        <is>
          <t>Skirts</t>
        </is>
      </c>
      <c r="G285" s="21" t="inlineStr">
        <is>
          <t>M</t>
        </is>
      </c>
      <c r="H285" s="13" t="n">
        <v>3</v>
      </c>
      <c r="I285" s="14" t="n">
        <v>4500</v>
      </c>
      <c r="J285" s="14">
        <f>H285*I285</f>
        <v/>
      </c>
      <c r="K285" s="14" t="n">
        <v>1600</v>
      </c>
      <c r="L285" s="14">
        <f>H285*K285</f>
        <v/>
      </c>
      <c r="M285" s="14">
        <f>J285-L285</f>
        <v/>
      </c>
      <c r="N285" s="21" t="inlineStr">
        <is>
          <t>WH-DEL-03</t>
        </is>
      </c>
      <c r="O285" s="21" t="inlineStr">
        <is>
          <t>Mobile App</t>
        </is>
      </c>
    </row>
    <row r="286" ht="19" customHeight="1">
      <c r="A286" s="20" t="inlineStr">
        <is>
          <t>ORD-2025301</t>
        </is>
      </c>
      <c r="B286" s="20" t="inlineStr">
        <is>
          <t>2026-02-14</t>
        </is>
      </c>
      <c r="C286" s="20" t="inlineStr">
        <is>
          <t>PD-006-XL</t>
        </is>
      </c>
      <c r="D286" s="20" t="inlineStr">
        <is>
          <t>PD-006</t>
        </is>
      </c>
      <c r="E286" s="9" t="inlineStr">
        <is>
          <t>Chiffon Crimson Blouse</t>
        </is>
      </c>
      <c r="F286" s="9" t="inlineStr">
        <is>
          <t>Tops</t>
        </is>
      </c>
      <c r="G286" s="20" t="inlineStr">
        <is>
          <t>XL</t>
        </is>
      </c>
      <c r="H286" s="10" t="n">
        <v>3</v>
      </c>
      <c r="I286" s="11" t="n">
        <v>3200</v>
      </c>
      <c r="J286" s="11">
        <f>H286*I286</f>
        <v/>
      </c>
      <c r="K286" s="11" t="n">
        <v>1100</v>
      </c>
      <c r="L286" s="11">
        <f>H286*K286</f>
        <v/>
      </c>
      <c r="M286" s="11">
        <f>J286-L286</f>
        <v/>
      </c>
      <c r="N286" s="20" t="inlineStr">
        <is>
          <t>WH-HYD-01</t>
        </is>
      </c>
      <c r="O286" s="20" t="inlineStr">
        <is>
          <t>Retail Store</t>
        </is>
      </c>
    </row>
    <row r="287" ht="19" customHeight="1">
      <c r="A287" s="21" t="inlineStr">
        <is>
          <t>ORD-2025478</t>
        </is>
      </c>
      <c r="B287" s="21" t="inlineStr">
        <is>
          <t>2026-02-14</t>
        </is>
      </c>
      <c r="C287" s="21" t="inlineStr">
        <is>
          <t>PD-002-XL</t>
        </is>
      </c>
      <c r="D287" s="21" t="inlineStr">
        <is>
          <t>PD-002</t>
        </is>
      </c>
      <c r="E287" s="12" t="inlineStr">
        <is>
          <t>Merlot Satin Slip Dress</t>
        </is>
      </c>
      <c r="F287" s="12" t="inlineStr">
        <is>
          <t>Dresses</t>
        </is>
      </c>
      <c r="G287" s="21" t="inlineStr">
        <is>
          <t>XL</t>
        </is>
      </c>
      <c r="H287" s="13" t="n">
        <v>4</v>
      </c>
      <c r="I287" s="14" t="n">
        <v>6200</v>
      </c>
      <c r="J287" s="14">
        <f>H287*I287</f>
        <v/>
      </c>
      <c r="K287" s="14" t="n">
        <v>2100</v>
      </c>
      <c r="L287" s="14">
        <f>H287*K287</f>
        <v/>
      </c>
      <c r="M287" s="14">
        <f>J287-L287</f>
        <v/>
      </c>
      <c r="N287" s="21" t="inlineStr">
        <is>
          <t>WH-DEL-03</t>
        </is>
      </c>
      <c r="O287" s="21" t="inlineStr">
        <is>
          <t>Online Store</t>
        </is>
      </c>
    </row>
    <row r="288" ht="19" customHeight="1">
      <c r="A288" s="20" t="inlineStr">
        <is>
          <t>ORD-2025351</t>
        </is>
      </c>
      <c r="B288" s="20" t="inlineStr">
        <is>
          <t>2026-02-16</t>
        </is>
      </c>
      <c r="C288" s="20" t="inlineStr">
        <is>
          <t>PD-007-M</t>
        </is>
      </c>
      <c r="D288" s="20" t="inlineStr">
        <is>
          <t>PD-007</t>
        </is>
      </c>
      <c r="E288" s="9" t="inlineStr">
        <is>
          <t>Burgundy Trench Coat</t>
        </is>
      </c>
      <c r="F288" s="9" t="inlineStr">
        <is>
          <t>Outerwear</t>
        </is>
      </c>
      <c r="G288" s="20" t="inlineStr">
        <is>
          <t>M</t>
        </is>
      </c>
      <c r="H288" s="10" t="n">
        <v>3</v>
      </c>
      <c r="I288" s="11" t="n">
        <v>12500</v>
      </c>
      <c r="J288" s="11">
        <f>H288*I288</f>
        <v/>
      </c>
      <c r="K288" s="11" t="n">
        <v>4800</v>
      </c>
      <c r="L288" s="11">
        <f>H288*K288</f>
        <v/>
      </c>
      <c r="M288" s="11">
        <f>J288-L288</f>
        <v/>
      </c>
      <c r="N288" s="20" t="inlineStr">
        <is>
          <t>WH-HYD-01</t>
        </is>
      </c>
      <c r="O288" s="20" t="inlineStr">
        <is>
          <t>Retail Store</t>
        </is>
      </c>
    </row>
    <row r="289" ht="19" customHeight="1">
      <c r="A289" s="21" t="inlineStr">
        <is>
          <t>ORD-2025176</t>
        </is>
      </c>
      <c r="B289" s="21" t="inlineStr">
        <is>
          <t>2026-02-17</t>
        </is>
      </c>
      <c r="C289" s="21" t="inlineStr">
        <is>
          <t>PD-002-M</t>
        </is>
      </c>
      <c r="D289" s="21" t="inlineStr">
        <is>
          <t>PD-002</t>
        </is>
      </c>
      <c r="E289" s="12" t="inlineStr">
        <is>
          <t>Merlot Satin Slip Dress</t>
        </is>
      </c>
      <c r="F289" s="12" t="inlineStr">
        <is>
          <t>Dresses</t>
        </is>
      </c>
      <c r="G289" s="21" t="inlineStr">
        <is>
          <t>M</t>
        </is>
      </c>
      <c r="H289" s="13" t="n">
        <v>5</v>
      </c>
      <c r="I289" s="14" t="n">
        <v>6200</v>
      </c>
      <c r="J289" s="14">
        <f>H289*I289</f>
        <v/>
      </c>
      <c r="K289" s="14" t="n">
        <v>2100</v>
      </c>
      <c r="L289" s="14">
        <f>H289*K289</f>
        <v/>
      </c>
      <c r="M289" s="14">
        <f>J289-L289</f>
        <v/>
      </c>
      <c r="N289" s="21" t="inlineStr">
        <is>
          <t>WH-HYD-01</t>
        </is>
      </c>
      <c r="O289" s="21" t="inlineStr">
        <is>
          <t>Mobile App</t>
        </is>
      </c>
    </row>
    <row r="290" ht="19" customHeight="1">
      <c r="A290" s="20" t="inlineStr">
        <is>
          <t>ORD-2025060</t>
        </is>
      </c>
      <c r="B290" s="20" t="inlineStr">
        <is>
          <t>2026-02-18</t>
        </is>
      </c>
      <c r="C290" s="20" t="inlineStr">
        <is>
          <t>PD-008-XS</t>
        </is>
      </c>
      <c r="D290" s="20" t="inlineStr">
        <is>
          <t>PD-008</t>
        </is>
      </c>
      <c r="E290" s="9" t="inlineStr">
        <is>
          <t>Tuscan Sun Silk Skirt</t>
        </is>
      </c>
      <c r="F290" s="9" t="inlineStr">
        <is>
          <t>Skirts</t>
        </is>
      </c>
      <c r="G290" s="20" t="inlineStr">
        <is>
          <t>XS</t>
        </is>
      </c>
      <c r="H290" s="10" t="n">
        <v>1</v>
      </c>
      <c r="I290" s="11" t="n">
        <v>4500</v>
      </c>
      <c r="J290" s="11">
        <f>H290*I290</f>
        <v/>
      </c>
      <c r="K290" s="11" t="n">
        <v>1600</v>
      </c>
      <c r="L290" s="11">
        <f>H290*K290</f>
        <v/>
      </c>
      <c r="M290" s="11">
        <f>J290-L290</f>
        <v/>
      </c>
      <c r="N290" s="20" t="inlineStr">
        <is>
          <t>WH-HYD-01</t>
        </is>
      </c>
      <c r="O290" s="20" t="inlineStr">
        <is>
          <t>Online Store</t>
        </is>
      </c>
    </row>
    <row r="291" ht="19" customHeight="1">
      <c r="A291" s="21" t="inlineStr">
        <is>
          <t>ORD-2025275</t>
        </is>
      </c>
      <c r="B291" s="21" t="inlineStr">
        <is>
          <t>2026-02-18</t>
        </is>
      </c>
      <c r="C291" s="21" t="inlineStr">
        <is>
          <t>PD-009-L</t>
        </is>
      </c>
      <c r="D291" s="21" t="inlineStr">
        <is>
          <t>PD-009</t>
        </is>
      </c>
      <c r="E291" s="12" t="inlineStr">
        <is>
          <t>Syrah Pleated Maxi Skirt</t>
        </is>
      </c>
      <c r="F291" s="12" t="inlineStr">
        <is>
          <t>Skirts</t>
        </is>
      </c>
      <c r="G291" s="21" t="inlineStr">
        <is>
          <t>L</t>
        </is>
      </c>
      <c r="H291" s="13" t="n">
        <v>1</v>
      </c>
      <c r="I291" s="14" t="n">
        <v>5400</v>
      </c>
      <c r="J291" s="14">
        <f>H291*I291</f>
        <v/>
      </c>
      <c r="K291" s="14" t="n">
        <v>1900</v>
      </c>
      <c r="L291" s="14">
        <f>H291*K291</f>
        <v/>
      </c>
      <c r="M291" s="14">
        <f>J291-L291</f>
        <v/>
      </c>
      <c r="N291" s="21" t="inlineStr">
        <is>
          <t>WH-BLR-02</t>
        </is>
      </c>
      <c r="O291" s="21" t="inlineStr">
        <is>
          <t>Mobile App</t>
        </is>
      </c>
    </row>
    <row r="292" ht="19" customHeight="1">
      <c r="A292" s="20" t="inlineStr">
        <is>
          <t>ORD-2025168</t>
        </is>
      </c>
      <c r="B292" s="20" t="inlineStr">
        <is>
          <t>2026-02-19</t>
        </is>
      </c>
      <c r="C292" s="20" t="inlineStr">
        <is>
          <t>PD-004-XL</t>
        </is>
      </c>
      <c r="D292" s="20" t="inlineStr">
        <is>
          <t>PD-004</t>
        </is>
      </c>
      <c r="E292" s="9" t="inlineStr">
        <is>
          <t>Rosé Off-Shoulder Mini</t>
        </is>
      </c>
      <c r="F292" s="9" t="inlineStr">
        <is>
          <t>Dresses</t>
        </is>
      </c>
      <c r="G292" s="20" t="inlineStr">
        <is>
          <t>XL</t>
        </is>
      </c>
      <c r="H292" s="10" t="n">
        <v>5</v>
      </c>
      <c r="I292" s="11" t="n">
        <v>4900</v>
      </c>
      <c r="J292" s="11">
        <f>H292*I292</f>
        <v/>
      </c>
      <c r="K292" s="11" t="n">
        <v>1800</v>
      </c>
      <c r="L292" s="11">
        <f>H292*K292</f>
        <v/>
      </c>
      <c r="M292" s="11">
        <f>J292-L292</f>
        <v/>
      </c>
      <c r="N292" s="20" t="inlineStr">
        <is>
          <t>WH-DEL-03</t>
        </is>
      </c>
      <c r="O292" s="20" t="inlineStr">
        <is>
          <t>Online Store</t>
        </is>
      </c>
    </row>
    <row r="293" ht="19" customHeight="1">
      <c r="A293" s="21" t="inlineStr">
        <is>
          <t>ORD-2025294</t>
        </is>
      </c>
      <c r="B293" s="21" t="inlineStr">
        <is>
          <t>2026-02-19</t>
        </is>
      </c>
      <c r="C293" s="21" t="inlineStr">
        <is>
          <t>PD-008-XS</t>
        </is>
      </c>
      <c r="D293" s="21" t="inlineStr">
        <is>
          <t>PD-008</t>
        </is>
      </c>
      <c r="E293" s="12" t="inlineStr">
        <is>
          <t>Tuscan Sun Silk Skirt</t>
        </is>
      </c>
      <c r="F293" s="12" t="inlineStr">
        <is>
          <t>Skirts</t>
        </is>
      </c>
      <c r="G293" s="21" t="inlineStr">
        <is>
          <t>XS</t>
        </is>
      </c>
      <c r="H293" s="13" t="n">
        <v>5</v>
      </c>
      <c r="I293" s="14" t="n">
        <v>4500</v>
      </c>
      <c r="J293" s="14">
        <f>H293*I293</f>
        <v/>
      </c>
      <c r="K293" s="14" t="n">
        <v>1600</v>
      </c>
      <c r="L293" s="14">
        <f>H293*K293</f>
        <v/>
      </c>
      <c r="M293" s="14">
        <f>J293-L293</f>
        <v/>
      </c>
      <c r="N293" s="21" t="inlineStr">
        <is>
          <t>WH-DEL-03</t>
        </is>
      </c>
      <c r="O293" s="21" t="inlineStr">
        <is>
          <t>Mobile App</t>
        </is>
      </c>
    </row>
    <row r="294" ht="19" customHeight="1">
      <c r="A294" s="20" t="inlineStr">
        <is>
          <t>ORD-2025026</t>
        </is>
      </c>
      <c r="B294" s="20" t="inlineStr">
        <is>
          <t>2026-02-20</t>
        </is>
      </c>
      <c r="C294" s="20" t="inlineStr">
        <is>
          <t>PD-005-M</t>
        </is>
      </c>
      <c r="D294" s="20" t="inlineStr">
        <is>
          <t>PD-005</t>
        </is>
      </c>
      <c r="E294" s="9" t="inlineStr">
        <is>
          <t>Shiraz Wrap Evening Dress</t>
        </is>
      </c>
      <c r="F294" s="9" t="inlineStr">
        <is>
          <t>Dresses</t>
        </is>
      </c>
      <c r="G294" s="20" t="inlineStr">
        <is>
          <t>M</t>
        </is>
      </c>
      <c r="H294" s="10" t="n">
        <v>4</v>
      </c>
      <c r="I294" s="11" t="n">
        <v>9200</v>
      </c>
      <c r="J294" s="11">
        <f>H294*I294</f>
        <v/>
      </c>
      <c r="K294" s="11" t="n">
        <v>3500</v>
      </c>
      <c r="L294" s="11">
        <f>H294*K294</f>
        <v/>
      </c>
      <c r="M294" s="11">
        <f>J294-L294</f>
        <v/>
      </c>
      <c r="N294" s="20" t="inlineStr">
        <is>
          <t>WH-BLR-02</t>
        </is>
      </c>
      <c r="O294" s="20" t="inlineStr">
        <is>
          <t>Retail Store</t>
        </is>
      </c>
    </row>
    <row r="295" ht="19" customHeight="1">
      <c r="A295" s="21" t="inlineStr">
        <is>
          <t>ORD-2025282</t>
        </is>
      </c>
      <c r="B295" s="21" t="inlineStr">
        <is>
          <t>2026-02-20</t>
        </is>
      </c>
      <c r="C295" s="21" t="inlineStr">
        <is>
          <t>PD-006-L</t>
        </is>
      </c>
      <c r="D295" s="21" t="inlineStr">
        <is>
          <t>PD-006</t>
        </is>
      </c>
      <c r="E295" s="12" t="inlineStr">
        <is>
          <t>Chiffon Crimson Blouse</t>
        </is>
      </c>
      <c r="F295" s="12" t="inlineStr">
        <is>
          <t>Tops</t>
        </is>
      </c>
      <c r="G295" s="21" t="inlineStr">
        <is>
          <t>L</t>
        </is>
      </c>
      <c r="H295" s="13" t="n">
        <v>2</v>
      </c>
      <c r="I295" s="14" t="n">
        <v>3200</v>
      </c>
      <c r="J295" s="14">
        <f>H295*I295</f>
        <v/>
      </c>
      <c r="K295" s="14" t="n">
        <v>1100</v>
      </c>
      <c r="L295" s="14">
        <f>H295*K295</f>
        <v/>
      </c>
      <c r="M295" s="14">
        <f>J295-L295</f>
        <v/>
      </c>
      <c r="N295" s="21" t="inlineStr">
        <is>
          <t>WH-BLR-02</t>
        </is>
      </c>
      <c r="O295" s="21" t="inlineStr">
        <is>
          <t>Retail Store</t>
        </is>
      </c>
    </row>
    <row r="296" ht="19" customHeight="1">
      <c r="A296" s="20" t="inlineStr">
        <is>
          <t>ORD-2025456</t>
        </is>
      </c>
      <c r="B296" s="20" t="inlineStr">
        <is>
          <t>2026-02-20</t>
        </is>
      </c>
      <c r="C296" s="20" t="inlineStr">
        <is>
          <t>PD-002-L</t>
        </is>
      </c>
      <c r="D296" s="20" t="inlineStr">
        <is>
          <t>PD-002</t>
        </is>
      </c>
      <c r="E296" s="9" t="inlineStr">
        <is>
          <t>Merlot Satin Slip Dress</t>
        </is>
      </c>
      <c r="F296" s="9" t="inlineStr">
        <is>
          <t>Dresses</t>
        </is>
      </c>
      <c r="G296" s="20" t="inlineStr">
        <is>
          <t>L</t>
        </is>
      </c>
      <c r="H296" s="10" t="n">
        <v>3</v>
      </c>
      <c r="I296" s="11" t="n">
        <v>6200</v>
      </c>
      <c r="J296" s="11">
        <f>H296*I296</f>
        <v/>
      </c>
      <c r="K296" s="11" t="n">
        <v>2100</v>
      </c>
      <c r="L296" s="11">
        <f>H296*K296</f>
        <v/>
      </c>
      <c r="M296" s="11">
        <f>J296-L296</f>
        <v/>
      </c>
      <c r="N296" s="20" t="inlineStr">
        <is>
          <t>WH-DEL-03</t>
        </is>
      </c>
      <c r="O296" s="20" t="inlineStr">
        <is>
          <t>Retail Store</t>
        </is>
      </c>
    </row>
    <row r="297" ht="19" customHeight="1">
      <c r="A297" s="21" t="inlineStr">
        <is>
          <t>ORD-2025429</t>
        </is>
      </c>
      <c r="B297" s="21" t="inlineStr">
        <is>
          <t>2026-02-21</t>
        </is>
      </c>
      <c r="C297" s="21" t="inlineStr">
        <is>
          <t>PD-007-M</t>
        </is>
      </c>
      <c r="D297" s="21" t="inlineStr">
        <is>
          <t>PD-007</t>
        </is>
      </c>
      <c r="E297" s="12" t="inlineStr">
        <is>
          <t>Burgundy Trench Coat</t>
        </is>
      </c>
      <c r="F297" s="12" t="inlineStr">
        <is>
          <t>Outerwear</t>
        </is>
      </c>
      <c r="G297" s="21" t="inlineStr">
        <is>
          <t>M</t>
        </is>
      </c>
      <c r="H297" s="13" t="n">
        <v>1</v>
      </c>
      <c r="I297" s="14" t="n">
        <v>12500</v>
      </c>
      <c r="J297" s="14">
        <f>H297*I297</f>
        <v/>
      </c>
      <c r="K297" s="14" t="n">
        <v>4800</v>
      </c>
      <c r="L297" s="14">
        <f>H297*K297</f>
        <v/>
      </c>
      <c r="M297" s="14">
        <f>J297-L297</f>
        <v/>
      </c>
      <c r="N297" s="21" t="inlineStr">
        <is>
          <t>WH-HYD-01</t>
        </is>
      </c>
      <c r="O297" s="21" t="inlineStr">
        <is>
          <t>Mobile App</t>
        </is>
      </c>
    </row>
    <row r="298" ht="19" customHeight="1">
      <c r="A298" s="20" t="inlineStr">
        <is>
          <t>ORD-2025137</t>
        </is>
      </c>
      <c r="B298" s="20" t="inlineStr">
        <is>
          <t>2026-02-22</t>
        </is>
      </c>
      <c r="C298" s="20" t="inlineStr">
        <is>
          <t>PD-003-S</t>
        </is>
      </c>
      <c r="D298" s="20" t="inlineStr">
        <is>
          <t>PD-003</t>
        </is>
      </c>
      <c r="E298" s="9" t="inlineStr">
        <is>
          <t>Bordeaux Lace Midi</t>
        </is>
      </c>
      <c r="F298" s="9" t="inlineStr">
        <is>
          <t>Dresses</t>
        </is>
      </c>
      <c r="G298" s="20" t="inlineStr">
        <is>
          <t>S</t>
        </is>
      </c>
      <c r="H298" s="10" t="n">
        <v>5</v>
      </c>
      <c r="I298" s="11" t="n">
        <v>7800</v>
      </c>
      <c r="J298" s="11">
        <f>H298*I298</f>
        <v/>
      </c>
      <c r="K298" s="11" t="n">
        <v>2800</v>
      </c>
      <c r="L298" s="11">
        <f>H298*K298</f>
        <v/>
      </c>
      <c r="M298" s="11">
        <f>J298-L298</f>
        <v/>
      </c>
      <c r="N298" s="20" t="inlineStr">
        <is>
          <t>WH-DEL-03</t>
        </is>
      </c>
      <c r="O298" s="20" t="inlineStr">
        <is>
          <t>Retail Store</t>
        </is>
      </c>
    </row>
    <row r="299" ht="19" customHeight="1">
      <c r="A299" s="21" t="inlineStr">
        <is>
          <t>ORD-2025396</t>
        </is>
      </c>
      <c r="B299" s="21" t="inlineStr">
        <is>
          <t>2026-02-23</t>
        </is>
      </c>
      <c r="C299" s="21" t="inlineStr">
        <is>
          <t>PD-006-XS</t>
        </is>
      </c>
      <c r="D299" s="21" t="inlineStr">
        <is>
          <t>PD-006</t>
        </is>
      </c>
      <c r="E299" s="12" t="inlineStr">
        <is>
          <t>Chiffon Crimson Blouse</t>
        </is>
      </c>
      <c r="F299" s="12" t="inlineStr">
        <is>
          <t>Tops</t>
        </is>
      </c>
      <c r="G299" s="21" t="inlineStr">
        <is>
          <t>XS</t>
        </is>
      </c>
      <c r="H299" s="13" t="n">
        <v>4</v>
      </c>
      <c r="I299" s="14" t="n">
        <v>3200</v>
      </c>
      <c r="J299" s="14">
        <f>H299*I299</f>
        <v/>
      </c>
      <c r="K299" s="14" t="n">
        <v>1100</v>
      </c>
      <c r="L299" s="14">
        <f>H299*K299</f>
        <v/>
      </c>
      <c r="M299" s="14">
        <f>J299-L299</f>
        <v/>
      </c>
      <c r="N299" s="21" t="inlineStr">
        <is>
          <t>WH-BLR-02</t>
        </is>
      </c>
      <c r="O299" s="21" t="inlineStr">
        <is>
          <t>Retail Store</t>
        </is>
      </c>
    </row>
    <row r="300" ht="19" customHeight="1">
      <c r="A300" s="20" t="inlineStr">
        <is>
          <t>ORD-2025358</t>
        </is>
      </c>
      <c r="B300" s="20" t="inlineStr">
        <is>
          <t>2026-02-24</t>
        </is>
      </c>
      <c r="C300" s="20" t="inlineStr">
        <is>
          <t>PD-001-M</t>
        </is>
      </c>
      <c r="D300" s="20" t="inlineStr">
        <is>
          <t>PD-001</t>
        </is>
      </c>
      <c r="E300" s="9" t="inlineStr">
        <is>
          <t>Cabernet Velvet Gown</t>
        </is>
      </c>
      <c r="F300" s="9" t="inlineStr">
        <is>
          <t>Dresses</t>
        </is>
      </c>
      <c r="G300" s="20" t="inlineStr">
        <is>
          <t>M</t>
        </is>
      </c>
      <c r="H300" s="10" t="n">
        <v>4</v>
      </c>
      <c r="I300" s="11" t="n">
        <v>8500</v>
      </c>
      <c r="J300" s="11">
        <f>H300*I300</f>
        <v/>
      </c>
      <c r="K300" s="11" t="n">
        <v>3200</v>
      </c>
      <c r="L300" s="11">
        <f>H300*K300</f>
        <v/>
      </c>
      <c r="M300" s="11">
        <f>J300-L300</f>
        <v/>
      </c>
      <c r="N300" s="20" t="inlineStr">
        <is>
          <t>WH-BLR-02</t>
        </is>
      </c>
      <c r="O300" s="20" t="inlineStr">
        <is>
          <t>Mobile App</t>
        </is>
      </c>
    </row>
    <row r="301" ht="19" customHeight="1">
      <c r="A301" s="21" t="inlineStr">
        <is>
          <t>ORD-2025362</t>
        </is>
      </c>
      <c r="B301" s="21" t="inlineStr">
        <is>
          <t>2026-02-25</t>
        </is>
      </c>
      <c r="C301" s="21" t="inlineStr">
        <is>
          <t>PD-006-XL</t>
        </is>
      </c>
      <c r="D301" s="21" t="inlineStr">
        <is>
          <t>PD-006</t>
        </is>
      </c>
      <c r="E301" s="12" t="inlineStr">
        <is>
          <t>Chiffon Crimson Blouse</t>
        </is>
      </c>
      <c r="F301" s="12" t="inlineStr">
        <is>
          <t>Tops</t>
        </is>
      </c>
      <c r="G301" s="21" t="inlineStr">
        <is>
          <t>XL</t>
        </is>
      </c>
      <c r="H301" s="13" t="n">
        <v>3</v>
      </c>
      <c r="I301" s="14" t="n">
        <v>3200</v>
      </c>
      <c r="J301" s="14">
        <f>H301*I301</f>
        <v/>
      </c>
      <c r="K301" s="14" t="n">
        <v>1100</v>
      </c>
      <c r="L301" s="14">
        <f>H301*K301</f>
        <v/>
      </c>
      <c r="M301" s="14">
        <f>J301-L301</f>
        <v/>
      </c>
      <c r="N301" s="21" t="inlineStr">
        <is>
          <t>WH-BLR-02</t>
        </is>
      </c>
      <c r="O301" s="21" t="inlineStr">
        <is>
          <t>Mobile App</t>
        </is>
      </c>
    </row>
    <row r="302" ht="19" customHeight="1">
      <c r="A302" s="20" t="inlineStr">
        <is>
          <t>ORD-2025331</t>
        </is>
      </c>
      <c r="B302" s="20" t="inlineStr">
        <is>
          <t>2026-02-26</t>
        </is>
      </c>
      <c r="C302" s="20" t="inlineStr">
        <is>
          <t>PD-009-XS</t>
        </is>
      </c>
      <c r="D302" s="20" t="inlineStr">
        <is>
          <t>PD-009</t>
        </is>
      </c>
      <c r="E302" s="9" t="inlineStr">
        <is>
          <t>Syrah Pleated Maxi Skirt</t>
        </is>
      </c>
      <c r="F302" s="9" t="inlineStr">
        <is>
          <t>Skirts</t>
        </is>
      </c>
      <c r="G302" s="20" t="inlineStr">
        <is>
          <t>XS</t>
        </is>
      </c>
      <c r="H302" s="10" t="n">
        <v>3</v>
      </c>
      <c r="I302" s="11" t="n">
        <v>5400</v>
      </c>
      <c r="J302" s="11">
        <f>H302*I302</f>
        <v/>
      </c>
      <c r="K302" s="11" t="n">
        <v>1900</v>
      </c>
      <c r="L302" s="11">
        <f>H302*K302</f>
        <v/>
      </c>
      <c r="M302" s="11">
        <f>J302-L302</f>
        <v/>
      </c>
      <c r="N302" s="20" t="inlineStr">
        <is>
          <t>WH-BLR-02</t>
        </is>
      </c>
      <c r="O302" s="20" t="inlineStr">
        <is>
          <t>Mobile App</t>
        </is>
      </c>
    </row>
    <row r="303" ht="19" customHeight="1">
      <c r="A303" s="21" t="inlineStr">
        <is>
          <t>ORD-2025276</t>
        </is>
      </c>
      <c r="B303" s="21" t="inlineStr">
        <is>
          <t>2026-02-27</t>
        </is>
      </c>
      <c r="C303" s="21" t="inlineStr">
        <is>
          <t>PD-001-XL</t>
        </is>
      </c>
      <c r="D303" s="21" t="inlineStr">
        <is>
          <t>PD-001</t>
        </is>
      </c>
      <c r="E303" s="12" t="inlineStr">
        <is>
          <t>Cabernet Velvet Gown</t>
        </is>
      </c>
      <c r="F303" s="12" t="inlineStr">
        <is>
          <t>Dresses</t>
        </is>
      </c>
      <c r="G303" s="21" t="inlineStr">
        <is>
          <t>XL</t>
        </is>
      </c>
      <c r="H303" s="13" t="n">
        <v>1</v>
      </c>
      <c r="I303" s="14" t="n">
        <v>8500</v>
      </c>
      <c r="J303" s="14">
        <f>H303*I303</f>
        <v/>
      </c>
      <c r="K303" s="14" t="n">
        <v>3200</v>
      </c>
      <c r="L303" s="14">
        <f>H303*K303</f>
        <v/>
      </c>
      <c r="M303" s="14">
        <f>J303-L303</f>
        <v/>
      </c>
      <c r="N303" s="21" t="inlineStr">
        <is>
          <t>WH-BLR-02</t>
        </is>
      </c>
      <c r="O303" s="21" t="inlineStr">
        <is>
          <t>Mobile App</t>
        </is>
      </c>
    </row>
    <row r="304" ht="19" customHeight="1">
      <c r="A304" s="20" t="inlineStr">
        <is>
          <t>ORD-2025360</t>
        </is>
      </c>
      <c r="B304" s="20" t="inlineStr">
        <is>
          <t>2026-03-01</t>
        </is>
      </c>
      <c r="C304" s="20" t="inlineStr">
        <is>
          <t>PD-003-XL</t>
        </is>
      </c>
      <c r="D304" s="20" t="inlineStr">
        <is>
          <t>PD-003</t>
        </is>
      </c>
      <c r="E304" s="9" t="inlineStr">
        <is>
          <t>Bordeaux Lace Midi</t>
        </is>
      </c>
      <c r="F304" s="9" t="inlineStr">
        <is>
          <t>Dresses</t>
        </is>
      </c>
      <c r="G304" s="20" t="inlineStr">
        <is>
          <t>XL</t>
        </is>
      </c>
      <c r="H304" s="10" t="n">
        <v>5</v>
      </c>
      <c r="I304" s="11" t="n">
        <v>7800</v>
      </c>
      <c r="J304" s="11">
        <f>H304*I304</f>
        <v/>
      </c>
      <c r="K304" s="11" t="n">
        <v>2800</v>
      </c>
      <c r="L304" s="11">
        <f>H304*K304</f>
        <v/>
      </c>
      <c r="M304" s="11">
        <f>J304-L304</f>
        <v/>
      </c>
      <c r="N304" s="20" t="inlineStr">
        <is>
          <t>WH-HYD-01</t>
        </is>
      </c>
      <c r="O304" s="20" t="inlineStr">
        <is>
          <t>Retail Store</t>
        </is>
      </c>
    </row>
    <row r="305" ht="19" customHeight="1">
      <c r="A305" s="21" t="inlineStr">
        <is>
          <t>ORD-2025367</t>
        </is>
      </c>
      <c r="B305" s="21" t="inlineStr">
        <is>
          <t>2026-03-02</t>
        </is>
      </c>
      <c r="C305" s="21" t="inlineStr">
        <is>
          <t>PD-007-M</t>
        </is>
      </c>
      <c r="D305" s="21" t="inlineStr">
        <is>
          <t>PD-007</t>
        </is>
      </c>
      <c r="E305" s="12" t="inlineStr">
        <is>
          <t>Burgundy Trench Coat</t>
        </is>
      </c>
      <c r="F305" s="12" t="inlineStr">
        <is>
          <t>Outerwear</t>
        </is>
      </c>
      <c r="G305" s="21" t="inlineStr">
        <is>
          <t>M</t>
        </is>
      </c>
      <c r="H305" s="13" t="n">
        <v>2</v>
      </c>
      <c r="I305" s="14" t="n">
        <v>12500</v>
      </c>
      <c r="J305" s="14">
        <f>H305*I305</f>
        <v/>
      </c>
      <c r="K305" s="14" t="n">
        <v>4800</v>
      </c>
      <c r="L305" s="14">
        <f>H305*K305</f>
        <v/>
      </c>
      <c r="M305" s="14">
        <f>J305-L305</f>
        <v/>
      </c>
      <c r="N305" s="21" t="inlineStr">
        <is>
          <t>WH-BLR-02</t>
        </is>
      </c>
      <c r="O305" s="21" t="inlineStr">
        <is>
          <t>Online Store</t>
        </is>
      </c>
    </row>
    <row r="306" ht="19" customHeight="1">
      <c r="A306" s="20" t="inlineStr">
        <is>
          <t>ORD-2025410</t>
        </is>
      </c>
      <c r="B306" s="20" t="inlineStr">
        <is>
          <t>2026-03-02</t>
        </is>
      </c>
      <c r="C306" s="20" t="inlineStr">
        <is>
          <t>PD-005-L</t>
        </is>
      </c>
      <c r="D306" s="20" t="inlineStr">
        <is>
          <t>PD-005</t>
        </is>
      </c>
      <c r="E306" s="9" t="inlineStr">
        <is>
          <t>Shiraz Wrap Evening Dress</t>
        </is>
      </c>
      <c r="F306" s="9" t="inlineStr">
        <is>
          <t>Dresses</t>
        </is>
      </c>
      <c r="G306" s="20" t="inlineStr">
        <is>
          <t>L</t>
        </is>
      </c>
      <c r="H306" s="10" t="n">
        <v>3</v>
      </c>
      <c r="I306" s="11" t="n">
        <v>9200</v>
      </c>
      <c r="J306" s="11">
        <f>H306*I306</f>
        <v/>
      </c>
      <c r="K306" s="11" t="n">
        <v>3500</v>
      </c>
      <c r="L306" s="11">
        <f>H306*K306</f>
        <v/>
      </c>
      <c r="M306" s="11">
        <f>J306-L306</f>
        <v/>
      </c>
      <c r="N306" s="20" t="inlineStr">
        <is>
          <t>WH-BLR-02</t>
        </is>
      </c>
      <c r="O306" s="20" t="inlineStr">
        <is>
          <t>Online Store</t>
        </is>
      </c>
    </row>
    <row r="307" ht="19" customHeight="1">
      <c r="A307" s="21" t="inlineStr">
        <is>
          <t>ORD-2025427</t>
        </is>
      </c>
      <c r="B307" s="21" t="inlineStr">
        <is>
          <t>2026-03-02</t>
        </is>
      </c>
      <c r="C307" s="21" t="inlineStr">
        <is>
          <t>PD-006-XL</t>
        </is>
      </c>
      <c r="D307" s="21" t="inlineStr">
        <is>
          <t>PD-006</t>
        </is>
      </c>
      <c r="E307" s="12" t="inlineStr">
        <is>
          <t>Chiffon Crimson Blouse</t>
        </is>
      </c>
      <c r="F307" s="12" t="inlineStr">
        <is>
          <t>Tops</t>
        </is>
      </c>
      <c r="G307" s="21" t="inlineStr">
        <is>
          <t>XL</t>
        </is>
      </c>
      <c r="H307" s="13" t="n">
        <v>5</v>
      </c>
      <c r="I307" s="14" t="n">
        <v>3200</v>
      </c>
      <c r="J307" s="14">
        <f>H307*I307</f>
        <v/>
      </c>
      <c r="K307" s="14" t="n">
        <v>1100</v>
      </c>
      <c r="L307" s="14">
        <f>H307*K307</f>
        <v/>
      </c>
      <c r="M307" s="14">
        <f>J307-L307</f>
        <v/>
      </c>
      <c r="N307" s="21" t="inlineStr">
        <is>
          <t>WH-BLR-02</t>
        </is>
      </c>
      <c r="O307" s="21" t="inlineStr">
        <is>
          <t>Online Store</t>
        </is>
      </c>
    </row>
    <row r="308" ht="19" customHeight="1">
      <c r="A308" s="20" t="inlineStr">
        <is>
          <t>ORD-2025018</t>
        </is>
      </c>
      <c r="B308" s="20" t="inlineStr">
        <is>
          <t>2026-03-03</t>
        </is>
      </c>
      <c r="C308" s="20" t="inlineStr">
        <is>
          <t>PD-002-M</t>
        </is>
      </c>
      <c r="D308" s="20" t="inlineStr">
        <is>
          <t>PD-002</t>
        </is>
      </c>
      <c r="E308" s="9" t="inlineStr">
        <is>
          <t>Merlot Satin Slip Dress</t>
        </is>
      </c>
      <c r="F308" s="9" t="inlineStr">
        <is>
          <t>Dresses</t>
        </is>
      </c>
      <c r="G308" s="20" t="inlineStr">
        <is>
          <t>M</t>
        </is>
      </c>
      <c r="H308" s="10" t="n">
        <v>2</v>
      </c>
      <c r="I308" s="11" t="n">
        <v>6200</v>
      </c>
      <c r="J308" s="11">
        <f>H308*I308</f>
        <v/>
      </c>
      <c r="K308" s="11" t="n">
        <v>2100</v>
      </c>
      <c r="L308" s="11">
        <f>H308*K308</f>
        <v/>
      </c>
      <c r="M308" s="11">
        <f>J308-L308</f>
        <v/>
      </c>
      <c r="N308" s="20" t="inlineStr">
        <is>
          <t>WH-HYD-01</t>
        </is>
      </c>
      <c r="O308" s="20" t="inlineStr">
        <is>
          <t>Online Store</t>
        </is>
      </c>
    </row>
    <row r="309" ht="19" customHeight="1">
      <c r="A309" s="21" t="inlineStr">
        <is>
          <t>ORD-2025007</t>
        </is>
      </c>
      <c r="B309" s="21" t="inlineStr">
        <is>
          <t>2026-03-04</t>
        </is>
      </c>
      <c r="C309" s="21" t="inlineStr">
        <is>
          <t>PD-001-XS</t>
        </is>
      </c>
      <c r="D309" s="21" t="inlineStr">
        <is>
          <t>PD-001</t>
        </is>
      </c>
      <c r="E309" s="12" t="inlineStr">
        <is>
          <t>Cabernet Velvet Gown</t>
        </is>
      </c>
      <c r="F309" s="12" t="inlineStr">
        <is>
          <t>Dresses</t>
        </is>
      </c>
      <c r="G309" s="21" t="inlineStr">
        <is>
          <t>XS</t>
        </is>
      </c>
      <c r="H309" s="13" t="n">
        <v>3</v>
      </c>
      <c r="I309" s="14" t="n">
        <v>8500</v>
      </c>
      <c r="J309" s="14">
        <f>H309*I309</f>
        <v/>
      </c>
      <c r="K309" s="14" t="n">
        <v>3200</v>
      </c>
      <c r="L309" s="14">
        <f>H309*K309</f>
        <v/>
      </c>
      <c r="M309" s="14">
        <f>J309-L309</f>
        <v/>
      </c>
      <c r="N309" s="21" t="inlineStr">
        <is>
          <t>WH-DEL-03</t>
        </is>
      </c>
      <c r="O309" s="21" t="inlineStr">
        <is>
          <t>Online Store</t>
        </is>
      </c>
    </row>
    <row r="310" ht="19" customHeight="1">
      <c r="A310" s="20" t="inlineStr">
        <is>
          <t>ORD-2025035</t>
        </is>
      </c>
      <c r="B310" s="20" t="inlineStr">
        <is>
          <t>2026-03-04</t>
        </is>
      </c>
      <c r="C310" s="20" t="inlineStr">
        <is>
          <t>PD-004-L</t>
        </is>
      </c>
      <c r="D310" s="20" t="inlineStr">
        <is>
          <t>PD-004</t>
        </is>
      </c>
      <c r="E310" s="9" t="inlineStr">
        <is>
          <t>Rosé Off-Shoulder Mini</t>
        </is>
      </c>
      <c r="F310" s="9" t="inlineStr">
        <is>
          <t>Dresses</t>
        </is>
      </c>
      <c r="G310" s="20" t="inlineStr">
        <is>
          <t>L</t>
        </is>
      </c>
      <c r="H310" s="10" t="n">
        <v>4</v>
      </c>
      <c r="I310" s="11" t="n">
        <v>4900</v>
      </c>
      <c r="J310" s="11">
        <f>H310*I310</f>
        <v/>
      </c>
      <c r="K310" s="11" t="n">
        <v>1800</v>
      </c>
      <c r="L310" s="11">
        <f>H310*K310</f>
        <v/>
      </c>
      <c r="M310" s="11">
        <f>J310-L310</f>
        <v/>
      </c>
      <c r="N310" s="20" t="inlineStr">
        <is>
          <t>WH-DEL-03</t>
        </is>
      </c>
      <c r="O310" s="20" t="inlineStr">
        <is>
          <t>Mobile App</t>
        </is>
      </c>
    </row>
    <row r="311" ht="19" customHeight="1">
      <c r="A311" s="21" t="inlineStr">
        <is>
          <t>ORD-2025248</t>
        </is>
      </c>
      <c r="B311" s="21" t="inlineStr">
        <is>
          <t>2026-03-04</t>
        </is>
      </c>
      <c r="C311" s="21" t="inlineStr">
        <is>
          <t>PD-005-L</t>
        </is>
      </c>
      <c r="D311" s="21" t="inlineStr">
        <is>
          <t>PD-005</t>
        </is>
      </c>
      <c r="E311" s="12" t="inlineStr">
        <is>
          <t>Shiraz Wrap Evening Dress</t>
        </is>
      </c>
      <c r="F311" s="12" t="inlineStr">
        <is>
          <t>Dresses</t>
        </is>
      </c>
      <c r="G311" s="21" t="inlineStr">
        <is>
          <t>L</t>
        </is>
      </c>
      <c r="H311" s="13" t="n">
        <v>3</v>
      </c>
      <c r="I311" s="14" t="n">
        <v>9200</v>
      </c>
      <c r="J311" s="14">
        <f>H311*I311</f>
        <v/>
      </c>
      <c r="K311" s="14" t="n">
        <v>3500</v>
      </c>
      <c r="L311" s="14">
        <f>H311*K311</f>
        <v/>
      </c>
      <c r="M311" s="14">
        <f>J311-L311</f>
        <v/>
      </c>
      <c r="N311" s="21" t="inlineStr">
        <is>
          <t>WH-DEL-03</t>
        </is>
      </c>
      <c r="O311" s="21" t="inlineStr">
        <is>
          <t>Retail Store</t>
        </is>
      </c>
    </row>
    <row r="312" ht="19" customHeight="1">
      <c r="A312" s="20" t="inlineStr">
        <is>
          <t>ORD-2025255</t>
        </is>
      </c>
      <c r="B312" s="20" t="inlineStr">
        <is>
          <t>2026-03-04</t>
        </is>
      </c>
      <c r="C312" s="20" t="inlineStr">
        <is>
          <t>PD-005-L</t>
        </is>
      </c>
      <c r="D312" s="20" t="inlineStr">
        <is>
          <t>PD-005</t>
        </is>
      </c>
      <c r="E312" s="9" t="inlineStr">
        <is>
          <t>Shiraz Wrap Evening Dress</t>
        </is>
      </c>
      <c r="F312" s="9" t="inlineStr">
        <is>
          <t>Dresses</t>
        </is>
      </c>
      <c r="G312" s="20" t="inlineStr">
        <is>
          <t>L</t>
        </is>
      </c>
      <c r="H312" s="10" t="n">
        <v>5</v>
      </c>
      <c r="I312" s="11" t="n">
        <v>9200</v>
      </c>
      <c r="J312" s="11">
        <f>H312*I312</f>
        <v/>
      </c>
      <c r="K312" s="11" t="n">
        <v>3500</v>
      </c>
      <c r="L312" s="11">
        <f>H312*K312</f>
        <v/>
      </c>
      <c r="M312" s="11">
        <f>J312-L312</f>
        <v/>
      </c>
      <c r="N312" s="20" t="inlineStr">
        <is>
          <t>WH-BLR-02</t>
        </is>
      </c>
      <c r="O312" s="20" t="inlineStr">
        <is>
          <t>Mobile App</t>
        </is>
      </c>
    </row>
    <row r="313" ht="19" customHeight="1">
      <c r="A313" s="21" t="inlineStr">
        <is>
          <t>ORD-2025283</t>
        </is>
      </c>
      <c r="B313" s="21" t="inlineStr">
        <is>
          <t>2026-03-04</t>
        </is>
      </c>
      <c r="C313" s="21" t="inlineStr">
        <is>
          <t>PD-006-XS</t>
        </is>
      </c>
      <c r="D313" s="21" t="inlineStr">
        <is>
          <t>PD-006</t>
        </is>
      </c>
      <c r="E313" s="12" t="inlineStr">
        <is>
          <t>Chiffon Crimson Blouse</t>
        </is>
      </c>
      <c r="F313" s="12" t="inlineStr">
        <is>
          <t>Tops</t>
        </is>
      </c>
      <c r="G313" s="21" t="inlineStr">
        <is>
          <t>XS</t>
        </is>
      </c>
      <c r="H313" s="13" t="n">
        <v>4</v>
      </c>
      <c r="I313" s="14" t="n">
        <v>3200</v>
      </c>
      <c r="J313" s="14">
        <f>H313*I313</f>
        <v/>
      </c>
      <c r="K313" s="14" t="n">
        <v>1100</v>
      </c>
      <c r="L313" s="14">
        <f>H313*K313</f>
        <v/>
      </c>
      <c r="M313" s="14">
        <f>J313-L313</f>
        <v/>
      </c>
      <c r="N313" s="21" t="inlineStr">
        <is>
          <t>WH-DEL-03</t>
        </is>
      </c>
      <c r="O313" s="21" t="inlineStr">
        <is>
          <t>Online Store</t>
        </is>
      </c>
    </row>
    <row r="314" ht="19" customHeight="1">
      <c r="A314" s="20" t="inlineStr">
        <is>
          <t>ORD-2025232</t>
        </is>
      </c>
      <c r="B314" s="20" t="inlineStr">
        <is>
          <t>2026-03-05</t>
        </is>
      </c>
      <c r="C314" s="20" t="inlineStr">
        <is>
          <t>PD-004-XL</t>
        </is>
      </c>
      <c r="D314" s="20" t="inlineStr">
        <is>
          <t>PD-004</t>
        </is>
      </c>
      <c r="E314" s="9" t="inlineStr">
        <is>
          <t>Rosé Off-Shoulder Mini</t>
        </is>
      </c>
      <c r="F314" s="9" t="inlineStr">
        <is>
          <t>Dresses</t>
        </is>
      </c>
      <c r="G314" s="20" t="inlineStr">
        <is>
          <t>XL</t>
        </is>
      </c>
      <c r="H314" s="10" t="n">
        <v>2</v>
      </c>
      <c r="I314" s="11" t="n">
        <v>4900</v>
      </c>
      <c r="J314" s="11">
        <f>H314*I314</f>
        <v/>
      </c>
      <c r="K314" s="11" t="n">
        <v>1800</v>
      </c>
      <c r="L314" s="11">
        <f>H314*K314</f>
        <v/>
      </c>
      <c r="M314" s="11">
        <f>J314-L314</f>
        <v/>
      </c>
      <c r="N314" s="20" t="inlineStr">
        <is>
          <t>WH-BLR-02</t>
        </is>
      </c>
      <c r="O314" s="20" t="inlineStr">
        <is>
          <t>Retail Store</t>
        </is>
      </c>
    </row>
    <row r="315" ht="19" customHeight="1">
      <c r="A315" s="21" t="inlineStr">
        <is>
          <t>ORD-2025391</t>
        </is>
      </c>
      <c r="B315" s="21" t="inlineStr">
        <is>
          <t>2026-03-06</t>
        </is>
      </c>
      <c r="C315" s="21" t="inlineStr">
        <is>
          <t>PD-001-M</t>
        </is>
      </c>
      <c r="D315" s="21" t="inlineStr">
        <is>
          <t>PD-001</t>
        </is>
      </c>
      <c r="E315" s="12" t="inlineStr">
        <is>
          <t>Cabernet Velvet Gown</t>
        </is>
      </c>
      <c r="F315" s="12" t="inlineStr">
        <is>
          <t>Dresses</t>
        </is>
      </c>
      <c r="G315" s="21" t="inlineStr">
        <is>
          <t>M</t>
        </is>
      </c>
      <c r="H315" s="13" t="n">
        <v>3</v>
      </c>
      <c r="I315" s="14" t="n">
        <v>8500</v>
      </c>
      <c r="J315" s="14">
        <f>H315*I315</f>
        <v/>
      </c>
      <c r="K315" s="14" t="n">
        <v>3200</v>
      </c>
      <c r="L315" s="14">
        <f>H315*K315</f>
        <v/>
      </c>
      <c r="M315" s="14">
        <f>J315-L315</f>
        <v/>
      </c>
      <c r="N315" s="21" t="inlineStr">
        <is>
          <t>WH-HYD-01</t>
        </is>
      </c>
      <c r="O315" s="21" t="inlineStr">
        <is>
          <t>Online Store</t>
        </is>
      </c>
    </row>
    <row r="316" ht="19" customHeight="1">
      <c r="A316" s="20" t="inlineStr">
        <is>
          <t>ORD-2025070</t>
        </is>
      </c>
      <c r="B316" s="20" t="inlineStr">
        <is>
          <t>2026-03-07</t>
        </is>
      </c>
      <c r="C316" s="20" t="inlineStr">
        <is>
          <t>PD-005-M</t>
        </is>
      </c>
      <c r="D316" s="20" t="inlineStr">
        <is>
          <t>PD-005</t>
        </is>
      </c>
      <c r="E316" s="9" t="inlineStr">
        <is>
          <t>Shiraz Wrap Evening Dress</t>
        </is>
      </c>
      <c r="F316" s="9" t="inlineStr">
        <is>
          <t>Dresses</t>
        </is>
      </c>
      <c r="G316" s="20" t="inlineStr">
        <is>
          <t>M</t>
        </is>
      </c>
      <c r="H316" s="10" t="n">
        <v>3</v>
      </c>
      <c r="I316" s="11" t="n">
        <v>9200</v>
      </c>
      <c r="J316" s="11">
        <f>H316*I316</f>
        <v/>
      </c>
      <c r="K316" s="11" t="n">
        <v>3500</v>
      </c>
      <c r="L316" s="11">
        <f>H316*K316</f>
        <v/>
      </c>
      <c r="M316" s="11">
        <f>J316-L316</f>
        <v/>
      </c>
      <c r="N316" s="20" t="inlineStr">
        <is>
          <t>WH-HYD-01</t>
        </is>
      </c>
      <c r="O316" s="20" t="inlineStr">
        <is>
          <t>Online Store</t>
        </is>
      </c>
    </row>
    <row r="317" ht="19" customHeight="1">
      <c r="A317" s="21" t="inlineStr">
        <is>
          <t>ORD-2025316</t>
        </is>
      </c>
      <c r="B317" s="21" t="inlineStr">
        <is>
          <t>2026-03-07</t>
        </is>
      </c>
      <c r="C317" s="21" t="inlineStr">
        <is>
          <t>PD-001-XL</t>
        </is>
      </c>
      <c r="D317" s="21" t="inlineStr">
        <is>
          <t>PD-001</t>
        </is>
      </c>
      <c r="E317" s="12" t="inlineStr">
        <is>
          <t>Cabernet Velvet Gown</t>
        </is>
      </c>
      <c r="F317" s="12" t="inlineStr">
        <is>
          <t>Dresses</t>
        </is>
      </c>
      <c r="G317" s="21" t="inlineStr">
        <is>
          <t>XL</t>
        </is>
      </c>
      <c r="H317" s="13" t="n">
        <v>3</v>
      </c>
      <c r="I317" s="14" t="n">
        <v>8500</v>
      </c>
      <c r="J317" s="14">
        <f>H317*I317</f>
        <v/>
      </c>
      <c r="K317" s="14" t="n">
        <v>3200</v>
      </c>
      <c r="L317" s="14">
        <f>H317*K317</f>
        <v/>
      </c>
      <c r="M317" s="14">
        <f>J317-L317</f>
        <v/>
      </c>
      <c r="N317" s="21" t="inlineStr">
        <is>
          <t>WH-DEL-03</t>
        </is>
      </c>
      <c r="O317" s="21" t="inlineStr">
        <is>
          <t>Retail Store</t>
        </is>
      </c>
    </row>
    <row r="318" ht="19" customHeight="1">
      <c r="A318" s="20" t="inlineStr">
        <is>
          <t>ORD-2025319</t>
        </is>
      </c>
      <c r="B318" s="20" t="inlineStr">
        <is>
          <t>2026-03-07</t>
        </is>
      </c>
      <c r="C318" s="20" t="inlineStr">
        <is>
          <t>PD-009-XL</t>
        </is>
      </c>
      <c r="D318" s="20" t="inlineStr">
        <is>
          <t>PD-009</t>
        </is>
      </c>
      <c r="E318" s="9" t="inlineStr">
        <is>
          <t>Syrah Pleated Maxi Skirt</t>
        </is>
      </c>
      <c r="F318" s="9" t="inlineStr">
        <is>
          <t>Skirts</t>
        </is>
      </c>
      <c r="G318" s="20" t="inlineStr">
        <is>
          <t>XL</t>
        </is>
      </c>
      <c r="H318" s="10" t="n">
        <v>3</v>
      </c>
      <c r="I318" s="11" t="n">
        <v>5400</v>
      </c>
      <c r="J318" s="11">
        <f>H318*I318</f>
        <v/>
      </c>
      <c r="K318" s="11" t="n">
        <v>1900</v>
      </c>
      <c r="L318" s="11">
        <f>H318*K318</f>
        <v/>
      </c>
      <c r="M318" s="11">
        <f>J318-L318</f>
        <v/>
      </c>
      <c r="N318" s="20" t="inlineStr">
        <is>
          <t>WH-HYD-01</t>
        </is>
      </c>
      <c r="O318" s="20" t="inlineStr">
        <is>
          <t>Retail Store</t>
        </is>
      </c>
    </row>
    <row r="319" ht="19" customHeight="1">
      <c r="A319" s="21" t="inlineStr">
        <is>
          <t>ORD-2025193</t>
        </is>
      </c>
      <c r="B319" s="21" t="inlineStr">
        <is>
          <t>2026-03-08</t>
        </is>
      </c>
      <c r="C319" s="21" t="inlineStr">
        <is>
          <t>PD-006-S</t>
        </is>
      </c>
      <c r="D319" s="21" t="inlineStr">
        <is>
          <t>PD-006</t>
        </is>
      </c>
      <c r="E319" s="12" t="inlineStr">
        <is>
          <t>Chiffon Crimson Blouse</t>
        </is>
      </c>
      <c r="F319" s="12" t="inlineStr">
        <is>
          <t>Tops</t>
        </is>
      </c>
      <c r="G319" s="21" t="inlineStr">
        <is>
          <t>S</t>
        </is>
      </c>
      <c r="H319" s="13" t="n">
        <v>1</v>
      </c>
      <c r="I319" s="14" t="n">
        <v>3200</v>
      </c>
      <c r="J319" s="14">
        <f>H319*I319</f>
        <v/>
      </c>
      <c r="K319" s="14" t="n">
        <v>1100</v>
      </c>
      <c r="L319" s="14">
        <f>H319*K319</f>
        <v/>
      </c>
      <c r="M319" s="14">
        <f>J319-L319</f>
        <v/>
      </c>
      <c r="N319" s="21" t="inlineStr">
        <is>
          <t>WH-HYD-01</t>
        </is>
      </c>
      <c r="O319" s="21" t="inlineStr">
        <is>
          <t>Mobile App</t>
        </is>
      </c>
    </row>
    <row r="320" ht="19" customHeight="1">
      <c r="A320" s="20" t="inlineStr">
        <is>
          <t>ORD-2025333</t>
        </is>
      </c>
      <c r="B320" s="20" t="inlineStr">
        <is>
          <t>2026-03-08</t>
        </is>
      </c>
      <c r="C320" s="20" t="inlineStr">
        <is>
          <t>PD-006-L</t>
        </is>
      </c>
      <c r="D320" s="20" t="inlineStr">
        <is>
          <t>PD-006</t>
        </is>
      </c>
      <c r="E320" s="9" t="inlineStr">
        <is>
          <t>Chiffon Crimson Blouse</t>
        </is>
      </c>
      <c r="F320" s="9" t="inlineStr">
        <is>
          <t>Tops</t>
        </is>
      </c>
      <c r="G320" s="20" t="inlineStr">
        <is>
          <t>L</t>
        </is>
      </c>
      <c r="H320" s="10" t="n">
        <v>1</v>
      </c>
      <c r="I320" s="11" t="n">
        <v>3200</v>
      </c>
      <c r="J320" s="11">
        <f>H320*I320</f>
        <v/>
      </c>
      <c r="K320" s="11" t="n">
        <v>1100</v>
      </c>
      <c r="L320" s="11">
        <f>H320*K320</f>
        <v/>
      </c>
      <c r="M320" s="11">
        <f>J320-L320</f>
        <v/>
      </c>
      <c r="N320" s="20" t="inlineStr">
        <is>
          <t>WH-HYD-01</t>
        </is>
      </c>
      <c r="O320" s="20" t="inlineStr">
        <is>
          <t>Retail Store</t>
        </is>
      </c>
    </row>
    <row r="321" ht="19" customHeight="1">
      <c r="A321" s="21" t="inlineStr">
        <is>
          <t>ORD-2025099</t>
        </is>
      </c>
      <c r="B321" s="21" t="inlineStr">
        <is>
          <t>2026-03-09</t>
        </is>
      </c>
      <c r="C321" s="21" t="inlineStr">
        <is>
          <t>PD-009-M</t>
        </is>
      </c>
      <c r="D321" s="21" t="inlineStr">
        <is>
          <t>PD-009</t>
        </is>
      </c>
      <c r="E321" s="12" t="inlineStr">
        <is>
          <t>Syrah Pleated Maxi Skirt</t>
        </is>
      </c>
      <c r="F321" s="12" t="inlineStr">
        <is>
          <t>Skirts</t>
        </is>
      </c>
      <c r="G321" s="21" t="inlineStr">
        <is>
          <t>M</t>
        </is>
      </c>
      <c r="H321" s="13" t="n">
        <v>5</v>
      </c>
      <c r="I321" s="14" t="n">
        <v>5400</v>
      </c>
      <c r="J321" s="14">
        <f>H321*I321</f>
        <v/>
      </c>
      <c r="K321" s="14" t="n">
        <v>1900</v>
      </c>
      <c r="L321" s="14">
        <f>H321*K321</f>
        <v/>
      </c>
      <c r="M321" s="14">
        <f>J321-L321</f>
        <v/>
      </c>
      <c r="N321" s="21" t="inlineStr">
        <is>
          <t>WH-DEL-03</t>
        </is>
      </c>
      <c r="O321" s="21" t="inlineStr">
        <is>
          <t>Mobile App</t>
        </is>
      </c>
    </row>
    <row r="322" ht="19" customHeight="1">
      <c r="A322" s="20" t="inlineStr">
        <is>
          <t>ORD-2025328</t>
        </is>
      </c>
      <c r="B322" s="20" t="inlineStr">
        <is>
          <t>2026-03-09</t>
        </is>
      </c>
      <c r="C322" s="20" t="inlineStr">
        <is>
          <t>PD-010-L</t>
        </is>
      </c>
      <c r="D322" s="20" t="inlineStr">
        <is>
          <t>PD-010</t>
        </is>
      </c>
      <c r="E322" s="9" t="inlineStr">
        <is>
          <t>Noir Tailored Blazer</t>
        </is>
      </c>
      <c r="F322" s="9" t="inlineStr">
        <is>
          <t>Outerwear</t>
        </is>
      </c>
      <c r="G322" s="20" t="inlineStr">
        <is>
          <t>L</t>
        </is>
      </c>
      <c r="H322" s="10" t="n">
        <v>5</v>
      </c>
      <c r="I322" s="11" t="n">
        <v>11000</v>
      </c>
      <c r="J322" s="11">
        <f>H322*I322</f>
        <v/>
      </c>
      <c r="K322" s="11" t="n">
        <v>4200</v>
      </c>
      <c r="L322" s="11">
        <f>H322*K322</f>
        <v/>
      </c>
      <c r="M322" s="11">
        <f>J322-L322</f>
        <v/>
      </c>
      <c r="N322" s="20" t="inlineStr">
        <is>
          <t>WH-DEL-03</t>
        </is>
      </c>
      <c r="O322" s="20" t="inlineStr">
        <is>
          <t>Retail Store</t>
        </is>
      </c>
    </row>
    <row r="323" ht="19" customHeight="1">
      <c r="A323" s="21" t="inlineStr">
        <is>
          <t>ORD-2025109</t>
        </is>
      </c>
      <c r="B323" s="21" t="inlineStr">
        <is>
          <t>2026-03-10</t>
        </is>
      </c>
      <c r="C323" s="21" t="inlineStr">
        <is>
          <t>PD-006-S</t>
        </is>
      </c>
      <c r="D323" s="21" t="inlineStr">
        <is>
          <t>PD-006</t>
        </is>
      </c>
      <c r="E323" s="12" t="inlineStr">
        <is>
          <t>Chiffon Crimson Blouse</t>
        </is>
      </c>
      <c r="F323" s="12" t="inlineStr">
        <is>
          <t>Tops</t>
        </is>
      </c>
      <c r="G323" s="21" t="inlineStr">
        <is>
          <t>S</t>
        </is>
      </c>
      <c r="H323" s="13" t="n">
        <v>1</v>
      </c>
      <c r="I323" s="14" t="n">
        <v>3200</v>
      </c>
      <c r="J323" s="14">
        <f>H323*I323</f>
        <v/>
      </c>
      <c r="K323" s="14" t="n">
        <v>1100</v>
      </c>
      <c r="L323" s="14">
        <f>H323*K323</f>
        <v/>
      </c>
      <c r="M323" s="14">
        <f>J323-L323</f>
        <v/>
      </c>
      <c r="N323" s="21" t="inlineStr">
        <is>
          <t>WH-HYD-01</t>
        </is>
      </c>
      <c r="O323" s="21" t="inlineStr">
        <is>
          <t>Retail Store</t>
        </is>
      </c>
    </row>
    <row r="324" ht="19" customHeight="1">
      <c r="A324" s="20" t="inlineStr">
        <is>
          <t>ORD-2025116</t>
        </is>
      </c>
      <c r="B324" s="20" t="inlineStr">
        <is>
          <t>2026-03-11</t>
        </is>
      </c>
      <c r="C324" s="20" t="inlineStr">
        <is>
          <t>PD-002-L</t>
        </is>
      </c>
      <c r="D324" s="20" t="inlineStr">
        <is>
          <t>PD-002</t>
        </is>
      </c>
      <c r="E324" s="9" t="inlineStr">
        <is>
          <t>Merlot Satin Slip Dress</t>
        </is>
      </c>
      <c r="F324" s="9" t="inlineStr">
        <is>
          <t>Dresses</t>
        </is>
      </c>
      <c r="G324" s="20" t="inlineStr">
        <is>
          <t>L</t>
        </is>
      </c>
      <c r="H324" s="10" t="n">
        <v>5</v>
      </c>
      <c r="I324" s="11" t="n">
        <v>6200</v>
      </c>
      <c r="J324" s="11">
        <f>H324*I324</f>
        <v/>
      </c>
      <c r="K324" s="11" t="n">
        <v>2100</v>
      </c>
      <c r="L324" s="11">
        <f>H324*K324</f>
        <v/>
      </c>
      <c r="M324" s="11">
        <f>J324-L324</f>
        <v/>
      </c>
      <c r="N324" s="20" t="inlineStr">
        <is>
          <t>WH-DEL-03</t>
        </is>
      </c>
      <c r="O324" s="20" t="inlineStr">
        <is>
          <t>Online Store</t>
        </is>
      </c>
    </row>
    <row r="325" ht="19" customHeight="1">
      <c r="A325" s="21" t="inlineStr">
        <is>
          <t>ORD-2025451</t>
        </is>
      </c>
      <c r="B325" s="21" t="inlineStr">
        <is>
          <t>2026-03-11</t>
        </is>
      </c>
      <c r="C325" s="21" t="inlineStr">
        <is>
          <t>PD-007-S</t>
        </is>
      </c>
      <c r="D325" s="21" t="inlineStr">
        <is>
          <t>PD-007</t>
        </is>
      </c>
      <c r="E325" s="12" t="inlineStr">
        <is>
          <t>Burgundy Trench Coat</t>
        </is>
      </c>
      <c r="F325" s="12" t="inlineStr">
        <is>
          <t>Outerwear</t>
        </is>
      </c>
      <c r="G325" s="21" t="inlineStr">
        <is>
          <t>S</t>
        </is>
      </c>
      <c r="H325" s="13" t="n">
        <v>3</v>
      </c>
      <c r="I325" s="14" t="n">
        <v>12500</v>
      </c>
      <c r="J325" s="14">
        <f>H325*I325</f>
        <v/>
      </c>
      <c r="K325" s="14" t="n">
        <v>4800</v>
      </c>
      <c r="L325" s="14">
        <f>H325*K325</f>
        <v/>
      </c>
      <c r="M325" s="14">
        <f>J325-L325</f>
        <v/>
      </c>
      <c r="N325" s="21" t="inlineStr">
        <is>
          <t>WH-BLR-02</t>
        </is>
      </c>
      <c r="O325" s="21" t="inlineStr">
        <is>
          <t>Online Store</t>
        </is>
      </c>
    </row>
    <row r="326" ht="19" customHeight="1">
      <c r="A326" s="20" t="inlineStr">
        <is>
          <t>ORD-2025122</t>
        </is>
      </c>
      <c r="B326" s="20" t="inlineStr">
        <is>
          <t>2026-03-12</t>
        </is>
      </c>
      <c r="C326" s="20" t="inlineStr">
        <is>
          <t>PD-001-S</t>
        </is>
      </c>
      <c r="D326" s="20" t="inlineStr">
        <is>
          <t>PD-001</t>
        </is>
      </c>
      <c r="E326" s="9" t="inlineStr">
        <is>
          <t>Cabernet Velvet Gown</t>
        </is>
      </c>
      <c r="F326" s="9" t="inlineStr">
        <is>
          <t>Dresses</t>
        </is>
      </c>
      <c r="G326" s="20" t="inlineStr">
        <is>
          <t>S</t>
        </is>
      </c>
      <c r="H326" s="10" t="n">
        <v>5</v>
      </c>
      <c r="I326" s="11" t="n">
        <v>8500</v>
      </c>
      <c r="J326" s="11">
        <f>H326*I326</f>
        <v/>
      </c>
      <c r="K326" s="11" t="n">
        <v>3200</v>
      </c>
      <c r="L326" s="11">
        <f>H326*K326</f>
        <v/>
      </c>
      <c r="M326" s="11">
        <f>J326-L326</f>
        <v/>
      </c>
      <c r="N326" s="20" t="inlineStr">
        <is>
          <t>WH-HYD-01</t>
        </is>
      </c>
      <c r="O326" s="20" t="inlineStr">
        <is>
          <t>Retail Store</t>
        </is>
      </c>
    </row>
    <row r="327" ht="19" customHeight="1">
      <c r="A327" s="21" t="inlineStr">
        <is>
          <t>ORD-2025361</t>
        </is>
      </c>
      <c r="B327" s="21" t="inlineStr">
        <is>
          <t>2026-03-12</t>
        </is>
      </c>
      <c r="C327" s="21" t="inlineStr">
        <is>
          <t>PD-003-M</t>
        </is>
      </c>
      <c r="D327" s="21" t="inlineStr">
        <is>
          <t>PD-003</t>
        </is>
      </c>
      <c r="E327" s="12" t="inlineStr">
        <is>
          <t>Bordeaux Lace Midi</t>
        </is>
      </c>
      <c r="F327" s="12" t="inlineStr">
        <is>
          <t>Dresses</t>
        </is>
      </c>
      <c r="G327" s="21" t="inlineStr">
        <is>
          <t>M</t>
        </is>
      </c>
      <c r="H327" s="13" t="n">
        <v>3</v>
      </c>
      <c r="I327" s="14" t="n">
        <v>7800</v>
      </c>
      <c r="J327" s="14">
        <f>H327*I327</f>
        <v/>
      </c>
      <c r="K327" s="14" t="n">
        <v>2800</v>
      </c>
      <c r="L327" s="14">
        <f>H327*K327</f>
        <v/>
      </c>
      <c r="M327" s="14">
        <f>J327-L327</f>
        <v/>
      </c>
      <c r="N327" s="21" t="inlineStr">
        <is>
          <t>WH-DEL-03</t>
        </is>
      </c>
      <c r="O327" s="21" t="inlineStr">
        <is>
          <t>Mobile App</t>
        </is>
      </c>
    </row>
    <row r="328" ht="19" customHeight="1">
      <c r="A328" s="20" t="inlineStr">
        <is>
          <t>ORD-2025455</t>
        </is>
      </c>
      <c r="B328" s="20" t="inlineStr">
        <is>
          <t>2026-03-12</t>
        </is>
      </c>
      <c r="C328" s="20" t="inlineStr">
        <is>
          <t>PD-004-L</t>
        </is>
      </c>
      <c r="D328" s="20" t="inlineStr">
        <is>
          <t>PD-004</t>
        </is>
      </c>
      <c r="E328" s="9" t="inlineStr">
        <is>
          <t>Rosé Off-Shoulder Mini</t>
        </is>
      </c>
      <c r="F328" s="9" t="inlineStr">
        <is>
          <t>Dresses</t>
        </is>
      </c>
      <c r="G328" s="20" t="inlineStr">
        <is>
          <t>L</t>
        </is>
      </c>
      <c r="H328" s="10" t="n">
        <v>5</v>
      </c>
      <c r="I328" s="11" t="n">
        <v>4900</v>
      </c>
      <c r="J328" s="11">
        <f>H328*I328</f>
        <v/>
      </c>
      <c r="K328" s="11" t="n">
        <v>1800</v>
      </c>
      <c r="L328" s="11">
        <f>H328*K328</f>
        <v/>
      </c>
      <c r="M328" s="11">
        <f>J328-L328</f>
        <v/>
      </c>
      <c r="N328" s="20" t="inlineStr">
        <is>
          <t>WH-HYD-01</t>
        </is>
      </c>
      <c r="O328" s="20" t="inlineStr">
        <is>
          <t>Online Store</t>
        </is>
      </c>
    </row>
    <row r="329" ht="19" customHeight="1">
      <c r="A329" s="21" t="inlineStr">
        <is>
          <t>ORD-2025202</t>
        </is>
      </c>
      <c r="B329" s="21" t="inlineStr">
        <is>
          <t>2026-03-13</t>
        </is>
      </c>
      <c r="C329" s="21" t="inlineStr">
        <is>
          <t>PD-004-XS</t>
        </is>
      </c>
      <c r="D329" s="21" t="inlineStr">
        <is>
          <t>PD-004</t>
        </is>
      </c>
      <c r="E329" s="12" t="inlineStr">
        <is>
          <t>Rosé Off-Shoulder Mini</t>
        </is>
      </c>
      <c r="F329" s="12" t="inlineStr">
        <is>
          <t>Dresses</t>
        </is>
      </c>
      <c r="G329" s="21" t="inlineStr">
        <is>
          <t>XS</t>
        </is>
      </c>
      <c r="H329" s="13" t="n">
        <v>4</v>
      </c>
      <c r="I329" s="14" t="n">
        <v>4900</v>
      </c>
      <c r="J329" s="14">
        <f>H329*I329</f>
        <v/>
      </c>
      <c r="K329" s="14" t="n">
        <v>1800</v>
      </c>
      <c r="L329" s="14">
        <f>H329*K329</f>
        <v/>
      </c>
      <c r="M329" s="14">
        <f>J329-L329</f>
        <v/>
      </c>
      <c r="N329" s="21" t="inlineStr">
        <is>
          <t>WH-DEL-03</t>
        </is>
      </c>
      <c r="O329" s="21" t="inlineStr">
        <is>
          <t>Online Store</t>
        </is>
      </c>
    </row>
    <row r="330" ht="19" customHeight="1">
      <c r="A330" s="20" t="inlineStr">
        <is>
          <t>ORD-2025250</t>
        </is>
      </c>
      <c r="B330" s="20" t="inlineStr">
        <is>
          <t>2026-03-13</t>
        </is>
      </c>
      <c r="C330" s="20" t="inlineStr">
        <is>
          <t>PD-001-S</t>
        </is>
      </c>
      <c r="D330" s="20" t="inlineStr">
        <is>
          <t>PD-001</t>
        </is>
      </c>
      <c r="E330" s="9" t="inlineStr">
        <is>
          <t>Cabernet Velvet Gown</t>
        </is>
      </c>
      <c r="F330" s="9" t="inlineStr">
        <is>
          <t>Dresses</t>
        </is>
      </c>
      <c r="G330" s="20" t="inlineStr">
        <is>
          <t>S</t>
        </is>
      </c>
      <c r="H330" s="10" t="n">
        <v>5</v>
      </c>
      <c r="I330" s="11" t="n">
        <v>8500</v>
      </c>
      <c r="J330" s="11">
        <f>H330*I330</f>
        <v/>
      </c>
      <c r="K330" s="11" t="n">
        <v>3200</v>
      </c>
      <c r="L330" s="11">
        <f>H330*K330</f>
        <v/>
      </c>
      <c r="M330" s="11">
        <f>J330-L330</f>
        <v/>
      </c>
      <c r="N330" s="20" t="inlineStr">
        <is>
          <t>WH-DEL-03</t>
        </is>
      </c>
      <c r="O330" s="20" t="inlineStr">
        <is>
          <t>Retail Store</t>
        </is>
      </c>
    </row>
    <row r="331" ht="19" customHeight="1">
      <c r="A331" s="21" t="inlineStr">
        <is>
          <t>ORD-2025211</t>
        </is>
      </c>
      <c r="B331" s="21" t="inlineStr">
        <is>
          <t>2026-03-14</t>
        </is>
      </c>
      <c r="C331" s="21" t="inlineStr">
        <is>
          <t>PD-010-XS</t>
        </is>
      </c>
      <c r="D331" s="21" t="inlineStr">
        <is>
          <t>PD-010</t>
        </is>
      </c>
      <c r="E331" s="12" t="inlineStr">
        <is>
          <t>Noir Tailored Blazer</t>
        </is>
      </c>
      <c r="F331" s="12" t="inlineStr">
        <is>
          <t>Outerwear</t>
        </is>
      </c>
      <c r="G331" s="21" t="inlineStr">
        <is>
          <t>XS</t>
        </is>
      </c>
      <c r="H331" s="13" t="n">
        <v>4</v>
      </c>
      <c r="I331" s="14" t="n">
        <v>11000</v>
      </c>
      <c r="J331" s="14">
        <f>H331*I331</f>
        <v/>
      </c>
      <c r="K331" s="14" t="n">
        <v>4200</v>
      </c>
      <c r="L331" s="14">
        <f>H331*K331</f>
        <v/>
      </c>
      <c r="M331" s="14">
        <f>J331-L331</f>
        <v/>
      </c>
      <c r="N331" s="21" t="inlineStr">
        <is>
          <t>WH-BLR-02</t>
        </is>
      </c>
      <c r="O331" s="21" t="inlineStr">
        <is>
          <t>Mobile App</t>
        </is>
      </c>
    </row>
    <row r="332" ht="19" customHeight="1">
      <c r="A332" s="20" t="inlineStr">
        <is>
          <t>ORD-2025465</t>
        </is>
      </c>
      <c r="B332" s="20" t="inlineStr">
        <is>
          <t>2026-03-14</t>
        </is>
      </c>
      <c r="C332" s="20" t="inlineStr">
        <is>
          <t>PD-007-L</t>
        </is>
      </c>
      <c r="D332" s="20" t="inlineStr">
        <is>
          <t>PD-007</t>
        </is>
      </c>
      <c r="E332" s="9" t="inlineStr">
        <is>
          <t>Burgundy Trench Coat</t>
        </is>
      </c>
      <c r="F332" s="9" t="inlineStr">
        <is>
          <t>Outerwear</t>
        </is>
      </c>
      <c r="G332" s="20" t="inlineStr">
        <is>
          <t>L</t>
        </is>
      </c>
      <c r="H332" s="10" t="n">
        <v>4</v>
      </c>
      <c r="I332" s="11" t="n">
        <v>12500</v>
      </c>
      <c r="J332" s="11">
        <f>H332*I332</f>
        <v/>
      </c>
      <c r="K332" s="11" t="n">
        <v>4800</v>
      </c>
      <c r="L332" s="11">
        <f>H332*K332</f>
        <v/>
      </c>
      <c r="M332" s="11">
        <f>J332-L332</f>
        <v/>
      </c>
      <c r="N332" s="20" t="inlineStr">
        <is>
          <t>WH-HYD-01</t>
        </is>
      </c>
      <c r="O332" s="20" t="inlineStr">
        <is>
          <t>Mobile App</t>
        </is>
      </c>
    </row>
    <row r="333" ht="19" customHeight="1">
      <c r="A333" s="21" t="inlineStr">
        <is>
          <t>ORD-2025102</t>
        </is>
      </c>
      <c r="B333" s="21" t="inlineStr">
        <is>
          <t>2026-03-15</t>
        </is>
      </c>
      <c r="C333" s="21" t="inlineStr">
        <is>
          <t>PD-006-L</t>
        </is>
      </c>
      <c r="D333" s="21" t="inlineStr">
        <is>
          <t>PD-006</t>
        </is>
      </c>
      <c r="E333" s="12" t="inlineStr">
        <is>
          <t>Chiffon Crimson Blouse</t>
        </is>
      </c>
      <c r="F333" s="12" t="inlineStr">
        <is>
          <t>Tops</t>
        </is>
      </c>
      <c r="G333" s="21" t="inlineStr">
        <is>
          <t>L</t>
        </is>
      </c>
      <c r="H333" s="13" t="n">
        <v>3</v>
      </c>
      <c r="I333" s="14" t="n">
        <v>3200</v>
      </c>
      <c r="J333" s="14">
        <f>H333*I333</f>
        <v/>
      </c>
      <c r="K333" s="14" t="n">
        <v>1100</v>
      </c>
      <c r="L333" s="14">
        <f>H333*K333</f>
        <v/>
      </c>
      <c r="M333" s="14">
        <f>J333-L333</f>
        <v/>
      </c>
      <c r="N333" s="21" t="inlineStr">
        <is>
          <t>WH-HYD-01</t>
        </is>
      </c>
      <c r="O333" s="21" t="inlineStr">
        <is>
          <t>Mobile App</t>
        </is>
      </c>
    </row>
    <row r="334" ht="19" customHeight="1">
      <c r="A334" s="20" t="inlineStr">
        <is>
          <t>ORD-2025161</t>
        </is>
      </c>
      <c r="B334" s="20" t="inlineStr">
        <is>
          <t>2026-03-17</t>
        </is>
      </c>
      <c r="C334" s="20" t="inlineStr">
        <is>
          <t>PD-006-L</t>
        </is>
      </c>
      <c r="D334" s="20" t="inlineStr">
        <is>
          <t>PD-006</t>
        </is>
      </c>
      <c r="E334" s="9" t="inlineStr">
        <is>
          <t>Chiffon Crimson Blouse</t>
        </is>
      </c>
      <c r="F334" s="9" t="inlineStr">
        <is>
          <t>Tops</t>
        </is>
      </c>
      <c r="G334" s="20" t="inlineStr">
        <is>
          <t>L</t>
        </is>
      </c>
      <c r="H334" s="10" t="n">
        <v>3</v>
      </c>
      <c r="I334" s="11" t="n">
        <v>3200</v>
      </c>
      <c r="J334" s="11">
        <f>H334*I334</f>
        <v/>
      </c>
      <c r="K334" s="11" t="n">
        <v>1100</v>
      </c>
      <c r="L334" s="11">
        <f>H334*K334</f>
        <v/>
      </c>
      <c r="M334" s="11">
        <f>J334-L334</f>
        <v/>
      </c>
      <c r="N334" s="20" t="inlineStr">
        <is>
          <t>WH-HYD-01</t>
        </is>
      </c>
      <c r="O334" s="20" t="inlineStr">
        <is>
          <t>Online Store</t>
        </is>
      </c>
    </row>
    <row r="335" ht="19" customHeight="1">
      <c r="A335" s="21" t="inlineStr">
        <is>
          <t>ORD-2025425</t>
        </is>
      </c>
      <c r="B335" s="21" t="inlineStr">
        <is>
          <t>2026-03-17</t>
        </is>
      </c>
      <c r="C335" s="21" t="inlineStr">
        <is>
          <t>PD-007-L</t>
        </is>
      </c>
      <c r="D335" s="21" t="inlineStr">
        <is>
          <t>PD-007</t>
        </is>
      </c>
      <c r="E335" s="12" t="inlineStr">
        <is>
          <t>Burgundy Trench Coat</t>
        </is>
      </c>
      <c r="F335" s="12" t="inlineStr">
        <is>
          <t>Outerwear</t>
        </is>
      </c>
      <c r="G335" s="21" t="inlineStr">
        <is>
          <t>L</t>
        </is>
      </c>
      <c r="H335" s="13" t="n">
        <v>4</v>
      </c>
      <c r="I335" s="14" t="n">
        <v>12500</v>
      </c>
      <c r="J335" s="14">
        <f>H335*I335</f>
        <v/>
      </c>
      <c r="K335" s="14" t="n">
        <v>4800</v>
      </c>
      <c r="L335" s="14">
        <f>H335*K335</f>
        <v/>
      </c>
      <c r="M335" s="14">
        <f>J335-L335</f>
        <v/>
      </c>
      <c r="N335" s="21" t="inlineStr">
        <is>
          <t>WH-BLR-02</t>
        </is>
      </c>
      <c r="O335" s="21" t="inlineStr">
        <is>
          <t>Mobile App</t>
        </is>
      </c>
    </row>
    <row r="336" ht="19" customHeight="1">
      <c r="A336" s="20" t="inlineStr">
        <is>
          <t>ORD-2025244</t>
        </is>
      </c>
      <c r="B336" s="20" t="inlineStr">
        <is>
          <t>2026-03-18</t>
        </is>
      </c>
      <c r="C336" s="20" t="inlineStr">
        <is>
          <t>PD-004-L</t>
        </is>
      </c>
      <c r="D336" s="20" t="inlineStr">
        <is>
          <t>PD-004</t>
        </is>
      </c>
      <c r="E336" s="9" t="inlineStr">
        <is>
          <t>Rosé Off-Shoulder Mini</t>
        </is>
      </c>
      <c r="F336" s="9" t="inlineStr">
        <is>
          <t>Dresses</t>
        </is>
      </c>
      <c r="G336" s="20" t="inlineStr">
        <is>
          <t>L</t>
        </is>
      </c>
      <c r="H336" s="10" t="n">
        <v>3</v>
      </c>
      <c r="I336" s="11" t="n">
        <v>4900</v>
      </c>
      <c r="J336" s="11">
        <f>H336*I336</f>
        <v/>
      </c>
      <c r="K336" s="11" t="n">
        <v>1800</v>
      </c>
      <c r="L336" s="11">
        <f>H336*K336</f>
        <v/>
      </c>
      <c r="M336" s="11">
        <f>J336-L336</f>
        <v/>
      </c>
      <c r="N336" s="20" t="inlineStr">
        <is>
          <t>WH-HYD-01</t>
        </is>
      </c>
      <c r="O336" s="20" t="inlineStr">
        <is>
          <t>Retail Store</t>
        </is>
      </c>
    </row>
    <row r="337" ht="19" customHeight="1">
      <c r="A337" s="21" t="inlineStr">
        <is>
          <t>ORD-2025292</t>
        </is>
      </c>
      <c r="B337" s="21" t="inlineStr">
        <is>
          <t>2026-03-18</t>
        </is>
      </c>
      <c r="C337" s="21" t="inlineStr">
        <is>
          <t>PD-003-XL</t>
        </is>
      </c>
      <c r="D337" s="21" t="inlineStr">
        <is>
          <t>PD-003</t>
        </is>
      </c>
      <c r="E337" s="12" t="inlineStr">
        <is>
          <t>Bordeaux Lace Midi</t>
        </is>
      </c>
      <c r="F337" s="12" t="inlineStr">
        <is>
          <t>Dresses</t>
        </is>
      </c>
      <c r="G337" s="21" t="inlineStr">
        <is>
          <t>XL</t>
        </is>
      </c>
      <c r="H337" s="13" t="n">
        <v>1</v>
      </c>
      <c r="I337" s="14" t="n">
        <v>7800</v>
      </c>
      <c r="J337" s="14">
        <f>H337*I337</f>
        <v/>
      </c>
      <c r="K337" s="14" t="n">
        <v>2800</v>
      </c>
      <c r="L337" s="14">
        <f>H337*K337</f>
        <v/>
      </c>
      <c r="M337" s="14">
        <f>J337-L337</f>
        <v/>
      </c>
      <c r="N337" s="21" t="inlineStr">
        <is>
          <t>WH-BLR-02</t>
        </is>
      </c>
      <c r="O337" s="21" t="inlineStr">
        <is>
          <t>Mobile App</t>
        </is>
      </c>
    </row>
    <row r="338" ht="19" customHeight="1">
      <c r="A338" s="20" t="inlineStr">
        <is>
          <t>ORD-2025155</t>
        </is>
      </c>
      <c r="B338" s="20" t="inlineStr">
        <is>
          <t>2026-03-19</t>
        </is>
      </c>
      <c r="C338" s="20" t="inlineStr">
        <is>
          <t>PD-004-M</t>
        </is>
      </c>
      <c r="D338" s="20" t="inlineStr">
        <is>
          <t>PD-004</t>
        </is>
      </c>
      <c r="E338" s="9" t="inlineStr">
        <is>
          <t>Rosé Off-Shoulder Mini</t>
        </is>
      </c>
      <c r="F338" s="9" t="inlineStr">
        <is>
          <t>Dresses</t>
        </is>
      </c>
      <c r="G338" s="20" t="inlineStr">
        <is>
          <t>M</t>
        </is>
      </c>
      <c r="H338" s="10" t="n">
        <v>5</v>
      </c>
      <c r="I338" s="11" t="n">
        <v>4900</v>
      </c>
      <c r="J338" s="11">
        <f>H338*I338</f>
        <v/>
      </c>
      <c r="K338" s="11" t="n">
        <v>1800</v>
      </c>
      <c r="L338" s="11">
        <f>H338*K338</f>
        <v/>
      </c>
      <c r="M338" s="11">
        <f>J338-L338</f>
        <v/>
      </c>
      <c r="N338" s="20" t="inlineStr">
        <is>
          <t>WH-DEL-03</t>
        </is>
      </c>
      <c r="O338" s="20" t="inlineStr">
        <is>
          <t>Mobile App</t>
        </is>
      </c>
    </row>
    <row r="339" ht="19" customHeight="1">
      <c r="A339" s="21" t="inlineStr">
        <is>
          <t>ORD-2025443</t>
        </is>
      </c>
      <c r="B339" s="21" t="inlineStr">
        <is>
          <t>2026-03-19</t>
        </is>
      </c>
      <c r="C339" s="21" t="inlineStr">
        <is>
          <t>PD-006-XL</t>
        </is>
      </c>
      <c r="D339" s="21" t="inlineStr">
        <is>
          <t>PD-006</t>
        </is>
      </c>
      <c r="E339" s="12" t="inlineStr">
        <is>
          <t>Chiffon Crimson Blouse</t>
        </is>
      </c>
      <c r="F339" s="12" t="inlineStr">
        <is>
          <t>Tops</t>
        </is>
      </c>
      <c r="G339" s="21" t="inlineStr">
        <is>
          <t>XL</t>
        </is>
      </c>
      <c r="H339" s="13" t="n">
        <v>2</v>
      </c>
      <c r="I339" s="14" t="n">
        <v>3200</v>
      </c>
      <c r="J339" s="14">
        <f>H339*I339</f>
        <v/>
      </c>
      <c r="K339" s="14" t="n">
        <v>1100</v>
      </c>
      <c r="L339" s="14">
        <f>H339*K339</f>
        <v/>
      </c>
      <c r="M339" s="14">
        <f>J339-L339</f>
        <v/>
      </c>
      <c r="N339" s="21" t="inlineStr">
        <is>
          <t>WH-BLR-02</t>
        </is>
      </c>
      <c r="O339" s="21" t="inlineStr">
        <is>
          <t>Mobile App</t>
        </is>
      </c>
    </row>
    <row r="340" ht="19" customHeight="1">
      <c r="A340" s="20" t="inlineStr">
        <is>
          <t>ORD-2025033</t>
        </is>
      </c>
      <c r="B340" s="20" t="inlineStr">
        <is>
          <t>2026-03-20</t>
        </is>
      </c>
      <c r="C340" s="20" t="inlineStr">
        <is>
          <t>PD-007-XS</t>
        </is>
      </c>
      <c r="D340" s="20" t="inlineStr">
        <is>
          <t>PD-007</t>
        </is>
      </c>
      <c r="E340" s="9" t="inlineStr">
        <is>
          <t>Burgundy Trench Coat</t>
        </is>
      </c>
      <c r="F340" s="9" t="inlineStr">
        <is>
          <t>Outerwear</t>
        </is>
      </c>
      <c r="G340" s="20" t="inlineStr">
        <is>
          <t>XS</t>
        </is>
      </c>
      <c r="H340" s="10" t="n">
        <v>2</v>
      </c>
      <c r="I340" s="11" t="n">
        <v>12500</v>
      </c>
      <c r="J340" s="11">
        <f>H340*I340</f>
        <v/>
      </c>
      <c r="K340" s="11" t="n">
        <v>4800</v>
      </c>
      <c r="L340" s="11">
        <f>H340*K340</f>
        <v/>
      </c>
      <c r="M340" s="11">
        <f>J340-L340</f>
        <v/>
      </c>
      <c r="N340" s="20" t="inlineStr">
        <is>
          <t>WH-BLR-02</t>
        </is>
      </c>
      <c r="O340" s="20" t="inlineStr">
        <is>
          <t>Online Store</t>
        </is>
      </c>
    </row>
    <row r="341" ht="19" customHeight="1">
      <c r="A341" s="21" t="inlineStr">
        <is>
          <t>ORD-2025146</t>
        </is>
      </c>
      <c r="B341" s="21" t="inlineStr">
        <is>
          <t>2026-03-22</t>
        </is>
      </c>
      <c r="C341" s="21" t="inlineStr">
        <is>
          <t>PD-008-XS</t>
        </is>
      </c>
      <c r="D341" s="21" t="inlineStr">
        <is>
          <t>PD-008</t>
        </is>
      </c>
      <c r="E341" s="12" t="inlineStr">
        <is>
          <t>Tuscan Sun Silk Skirt</t>
        </is>
      </c>
      <c r="F341" s="12" t="inlineStr">
        <is>
          <t>Skirts</t>
        </is>
      </c>
      <c r="G341" s="21" t="inlineStr">
        <is>
          <t>XS</t>
        </is>
      </c>
      <c r="H341" s="13" t="n">
        <v>2</v>
      </c>
      <c r="I341" s="14" t="n">
        <v>4500</v>
      </c>
      <c r="J341" s="14">
        <f>H341*I341</f>
        <v/>
      </c>
      <c r="K341" s="14" t="n">
        <v>1600</v>
      </c>
      <c r="L341" s="14">
        <f>H341*K341</f>
        <v/>
      </c>
      <c r="M341" s="14">
        <f>J341-L341</f>
        <v/>
      </c>
      <c r="N341" s="21" t="inlineStr">
        <is>
          <t>WH-DEL-03</t>
        </is>
      </c>
      <c r="O341" s="21" t="inlineStr">
        <is>
          <t>Retail Store</t>
        </is>
      </c>
    </row>
    <row r="342" ht="19" customHeight="1">
      <c r="A342" s="20" t="inlineStr">
        <is>
          <t>ORD-2025469</t>
        </is>
      </c>
      <c r="B342" s="20" t="inlineStr">
        <is>
          <t>2026-03-22</t>
        </is>
      </c>
      <c r="C342" s="20" t="inlineStr">
        <is>
          <t>PD-010-XS</t>
        </is>
      </c>
      <c r="D342" s="20" t="inlineStr">
        <is>
          <t>PD-010</t>
        </is>
      </c>
      <c r="E342" s="9" t="inlineStr">
        <is>
          <t>Noir Tailored Blazer</t>
        </is>
      </c>
      <c r="F342" s="9" t="inlineStr">
        <is>
          <t>Outerwear</t>
        </is>
      </c>
      <c r="G342" s="20" t="inlineStr">
        <is>
          <t>XS</t>
        </is>
      </c>
      <c r="H342" s="10" t="n">
        <v>5</v>
      </c>
      <c r="I342" s="11" t="n">
        <v>11000</v>
      </c>
      <c r="J342" s="11">
        <f>H342*I342</f>
        <v/>
      </c>
      <c r="K342" s="11" t="n">
        <v>4200</v>
      </c>
      <c r="L342" s="11">
        <f>H342*K342</f>
        <v/>
      </c>
      <c r="M342" s="11">
        <f>J342-L342</f>
        <v/>
      </c>
      <c r="N342" s="20" t="inlineStr">
        <is>
          <t>WH-BLR-02</t>
        </is>
      </c>
      <c r="O342" s="20" t="inlineStr">
        <is>
          <t>Retail Store</t>
        </is>
      </c>
    </row>
    <row r="343" ht="19" customHeight="1">
      <c r="A343" s="21" t="inlineStr">
        <is>
          <t>ORD-2025163</t>
        </is>
      </c>
      <c r="B343" s="21" t="inlineStr">
        <is>
          <t>2026-03-23</t>
        </is>
      </c>
      <c r="C343" s="21" t="inlineStr">
        <is>
          <t>PD-001-XL</t>
        </is>
      </c>
      <c r="D343" s="21" t="inlineStr">
        <is>
          <t>PD-001</t>
        </is>
      </c>
      <c r="E343" s="12" t="inlineStr">
        <is>
          <t>Cabernet Velvet Gown</t>
        </is>
      </c>
      <c r="F343" s="12" t="inlineStr">
        <is>
          <t>Dresses</t>
        </is>
      </c>
      <c r="G343" s="21" t="inlineStr">
        <is>
          <t>XL</t>
        </is>
      </c>
      <c r="H343" s="13" t="n">
        <v>5</v>
      </c>
      <c r="I343" s="14" t="n">
        <v>8500</v>
      </c>
      <c r="J343" s="14">
        <f>H343*I343</f>
        <v/>
      </c>
      <c r="K343" s="14" t="n">
        <v>3200</v>
      </c>
      <c r="L343" s="14">
        <f>H343*K343</f>
        <v/>
      </c>
      <c r="M343" s="14">
        <f>J343-L343</f>
        <v/>
      </c>
      <c r="N343" s="21" t="inlineStr">
        <is>
          <t>WH-DEL-03</t>
        </is>
      </c>
      <c r="O343" s="21" t="inlineStr">
        <is>
          <t>Mobile App</t>
        </is>
      </c>
    </row>
    <row r="344" ht="19" customHeight="1">
      <c r="A344" s="20" t="inlineStr">
        <is>
          <t>ORD-2025187</t>
        </is>
      </c>
      <c r="B344" s="20" t="inlineStr">
        <is>
          <t>2026-03-23</t>
        </is>
      </c>
      <c r="C344" s="20" t="inlineStr">
        <is>
          <t>PD-002-XS</t>
        </is>
      </c>
      <c r="D344" s="20" t="inlineStr">
        <is>
          <t>PD-002</t>
        </is>
      </c>
      <c r="E344" s="9" t="inlineStr">
        <is>
          <t>Merlot Satin Slip Dress</t>
        </is>
      </c>
      <c r="F344" s="9" t="inlineStr">
        <is>
          <t>Dresses</t>
        </is>
      </c>
      <c r="G344" s="20" t="inlineStr">
        <is>
          <t>XS</t>
        </is>
      </c>
      <c r="H344" s="10" t="n">
        <v>4</v>
      </c>
      <c r="I344" s="11" t="n">
        <v>6200</v>
      </c>
      <c r="J344" s="11">
        <f>H344*I344</f>
        <v/>
      </c>
      <c r="K344" s="11" t="n">
        <v>2100</v>
      </c>
      <c r="L344" s="11">
        <f>H344*K344</f>
        <v/>
      </c>
      <c r="M344" s="11">
        <f>J344-L344</f>
        <v/>
      </c>
      <c r="N344" s="20" t="inlineStr">
        <is>
          <t>WH-BLR-02</t>
        </is>
      </c>
      <c r="O344" s="20" t="inlineStr">
        <is>
          <t>Retail Store</t>
        </is>
      </c>
    </row>
    <row r="345" ht="19" customHeight="1">
      <c r="A345" s="21" t="inlineStr">
        <is>
          <t>ORD-2025001</t>
        </is>
      </c>
      <c r="B345" s="21" t="inlineStr">
        <is>
          <t>2026-03-24</t>
        </is>
      </c>
      <c r="C345" s="21" t="inlineStr">
        <is>
          <t>PD-002-XS</t>
        </is>
      </c>
      <c r="D345" s="21" t="inlineStr">
        <is>
          <t>PD-002</t>
        </is>
      </c>
      <c r="E345" s="12" t="inlineStr">
        <is>
          <t>Merlot Satin Slip Dress</t>
        </is>
      </c>
      <c r="F345" s="12" t="inlineStr">
        <is>
          <t>Dresses</t>
        </is>
      </c>
      <c r="G345" s="21" t="inlineStr">
        <is>
          <t>XS</t>
        </is>
      </c>
      <c r="H345" s="13" t="n">
        <v>1</v>
      </c>
      <c r="I345" s="14" t="n">
        <v>6200</v>
      </c>
      <c r="J345" s="14">
        <f>H345*I345</f>
        <v/>
      </c>
      <c r="K345" s="14" t="n">
        <v>2100</v>
      </c>
      <c r="L345" s="14">
        <f>H345*K345</f>
        <v/>
      </c>
      <c r="M345" s="14">
        <f>J345-L345</f>
        <v/>
      </c>
      <c r="N345" s="21" t="inlineStr">
        <is>
          <t>WH-HYD-01</t>
        </is>
      </c>
      <c r="O345" s="21" t="inlineStr">
        <is>
          <t>Online Store</t>
        </is>
      </c>
    </row>
    <row r="346" ht="19" customHeight="1">
      <c r="A346" s="20" t="inlineStr">
        <is>
          <t>ORD-2025422</t>
        </is>
      </c>
      <c r="B346" s="20" t="inlineStr">
        <is>
          <t>2026-03-24</t>
        </is>
      </c>
      <c r="C346" s="20" t="inlineStr">
        <is>
          <t>PD-001-S</t>
        </is>
      </c>
      <c r="D346" s="20" t="inlineStr">
        <is>
          <t>PD-001</t>
        </is>
      </c>
      <c r="E346" s="9" t="inlineStr">
        <is>
          <t>Cabernet Velvet Gown</t>
        </is>
      </c>
      <c r="F346" s="9" t="inlineStr">
        <is>
          <t>Dresses</t>
        </is>
      </c>
      <c r="G346" s="20" t="inlineStr">
        <is>
          <t>S</t>
        </is>
      </c>
      <c r="H346" s="10" t="n">
        <v>3</v>
      </c>
      <c r="I346" s="11" t="n">
        <v>8500</v>
      </c>
      <c r="J346" s="11">
        <f>H346*I346</f>
        <v/>
      </c>
      <c r="K346" s="11" t="n">
        <v>3200</v>
      </c>
      <c r="L346" s="11">
        <f>H346*K346</f>
        <v/>
      </c>
      <c r="M346" s="11">
        <f>J346-L346</f>
        <v/>
      </c>
      <c r="N346" s="20" t="inlineStr">
        <is>
          <t>WH-DEL-03</t>
        </is>
      </c>
      <c r="O346" s="20" t="inlineStr">
        <is>
          <t>Mobile App</t>
        </is>
      </c>
    </row>
    <row r="347" ht="19" customHeight="1">
      <c r="A347" s="21" t="inlineStr">
        <is>
          <t>ORD-2025142</t>
        </is>
      </c>
      <c r="B347" s="21" t="inlineStr">
        <is>
          <t>2026-03-25</t>
        </is>
      </c>
      <c r="C347" s="21" t="inlineStr">
        <is>
          <t>PD-005-XS</t>
        </is>
      </c>
      <c r="D347" s="21" t="inlineStr">
        <is>
          <t>PD-005</t>
        </is>
      </c>
      <c r="E347" s="12" t="inlineStr">
        <is>
          <t>Shiraz Wrap Evening Dress</t>
        </is>
      </c>
      <c r="F347" s="12" t="inlineStr">
        <is>
          <t>Dresses</t>
        </is>
      </c>
      <c r="G347" s="21" t="inlineStr">
        <is>
          <t>XS</t>
        </is>
      </c>
      <c r="H347" s="13" t="n">
        <v>2</v>
      </c>
      <c r="I347" s="14" t="n">
        <v>9200</v>
      </c>
      <c r="J347" s="14">
        <f>H347*I347</f>
        <v/>
      </c>
      <c r="K347" s="14" t="n">
        <v>3500</v>
      </c>
      <c r="L347" s="14">
        <f>H347*K347</f>
        <v/>
      </c>
      <c r="M347" s="14">
        <f>J347-L347</f>
        <v/>
      </c>
      <c r="N347" s="21" t="inlineStr">
        <is>
          <t>WH-BLR-02</t>
        </is>
      </c>
      <c r="O347" s="21" t="inlineStr">
        <is>
          <t>Online Store</t>
        </is>
      </c>
    </row>
    <row r="348" ht="19" customHeight="1">
      <c r="A348" s="20" t="inlineStr">
        <is>
          <t>ORD-2025227</t>
        </is>
      </c>
      <c r="B348" s="20" t="inlineStr">
        <is>
          <t>2026-03-26</t>
        </is>
      </c>
      <c r="C348" s="20" t="inlineStr">
        <is>
          <t>PD-008-M</t>
        </is>
      </c>
      <c r="D348" s="20" t="inlineStr">
        <is>
          <t>PD-008</t>
        </is>
      </c>
      <c r="E348" s="9" t="inlineStr">
        <is>
          <t>Tuscan Sun Silk Skirt</t>
        </is>
      </c>
      <c r="F348" s="9" t="inlineStr">
        <is>
          <t>Skirts</t>
        </is>
      </c>
      <c r="G348" s="20" t="inlineStr">
        <is>
          <t>M</t>
        </is>
      </c>
      <c r="H348" s="10" t="n">
        <v>2</v>
      </c>
      <c r="I348" s="11" t="n">
        <v>4500</v>
      </c>
      <c r="J348" s="11">
        <f>H348*I348</f>
        <v/>
      </c>
      <c r="K348" s="11" t="n">
        <v>1600</v>
      </c>
      <c r="L348" s="11">
        <f>H348*K348</f>
        <v/>
      </c>
      <c r="M348" s="11">
        <f>J348-L348</f>
        <v/>
      </c>
      <c r="N348" s="20" t="inlineStr">
        <is>
          <t>WH-HYD-01</t>
        </is>
      </c>
      <c r="O348" s="20" t="inlineStr">
        <is>
          <t>Retail Store</t>
        </is>
      </c>
    </row>
    <row r="349" ht="19" customHeight="1">
      <c r="A349" s="21" t="inlineStr">
        <is>
          <t>ORD-2025213</t>
        </is>
      </c>
      <c r="B349" s="21" t="inlineStr">
        <is>
          <t>2026-03-29</t>
        </is>
      </c>
      <c r="C349" s="21" t="inlineStr">
        <is>
          <t>PD-008-M</t>
        </is>
      </c>
      <c r="D349" s="21" t="inlineStr">
        <is>
          <t>PD-008</t>
        </is>
      </c>
      <c r="E349" s="12" t="inlineStr">
        <is>
          <t>Tuscan Sun Silk Skirt</t>
        </is>
      </c>
      <c r="F349" s="12" t="inlineStr">
        <is>
          <t>Skirts</t>
        </is>
      </c>
      <c r="G349" s="21" t="inlineStr">
        <is>
          <t>M</t>
        </is>
      </c>
      <c r="H349" s="13" t="n">
        <v>3</v>
      </c>
      <c r="I349" s="14" t="n">
        <v>4500</v>
      </c>
      <c r="J349" s="14">
        <f>H349*I349</f>
        <v/>
      </c>
      <c r="K349" s="14" t="n">
        <v>1600</v>
      </c>
      <c r="L349" s="14">
        <f>H349*K349</f>
        <v/>
      </c>
      <c r="M349" s="14">
        <f>J349-L349</f>
        <v/>
      </c>
      <c r="N349" s="21" t="inlineStr">
        <is>
          <t>WH-HYD-01</t>
        </is>
      </c>
      <c r="O349" s="21" t="inlineStr">
        <is>
          <t>Retail Store</t>
        </is>
      </c>
    </row>
    <row r="350" ht="19" customHeight="1">
      <c r="A350" s="20" t="inlineStr">
        <is>
          <t>ORD-2025101</t>
        </is>
      </c>
      <c r="B350" s="20" t="inlineStr">
        <is>
          <t>2026-03-30</t>
        </is>
      </c>
      <c r="C350" s="20" t="inlineStr">
        <is>
          <t>PD-006-M</t>
        </is>
      </c>
      <c r="D350" s="20" t="inlineStr">
        <is>
          <t>PD-006</t>
        </is>
      </c>
      <c r="E350" s="9" t="inlineStr">
        <is>
          <t>Chiffon Crimson Blouse</t>
        </is>
      </c>
      <c r="F350" s="9" t="inlineStr">
        <is>
          <t>Tops</t>
        </is>
      </c>
      <c r="G350" s="20" t="inlineStr">
        <is>
          <t>M</t>
        </is>
      </c>
      <c r="H350" s="10" t="n">
        <v>5</v>
      </c>
      <c r="I350" s="11" t="n">
        <v>3200</v>
      </c>
      <c r="J350" s="11">
        <f>H350*I350</f>
        <v/>
      </c>
      <c r="K350" s="11" t="n">
        <v>1100</v>
      </c>
      <c r="L350" s="11">
        <f>H350*K350</f>
        <v/>
      </c>
      <c r="M350" s="11">
        <f>J350-L350</f>
        <v/>
      </c>
      <c r="N350" s="20" t="inlineStr">
        <is>
          <t>WH-BLR-02</t>
        </is>
      </c>
      <c r="O350" s="20" t="inlineStr">
        <is>
          <t>Online Store</t>
        </is>
      </c>
    </row>
    <row r="351" ht="19" customHeight="1">
      <c r="A351" s="21" t="inlineStr">
        <is>
          <t>ORD-2025280</t>
        </is>
      </c>
      <c r="B351" s="21" t="inlineStr">
        <is>
          <t>2026-03-30</t>
        </is>
      </c>
      <c r="C351" s="21" t="inlineStr">
        <is>
          <t>PD-008-L</t>
        </is>
      </c>
      <c r="D351" s="21" t="inlineStr">
        <is>
          <t>PD-008</t>
        </is>
      </c>
      <c r="E351" s="12" t="inlineStr">
        <is>
          <t>Tuscan Sun Silk Skirt</t>
        </is>
      </c>
      <c r="F351" s="12" t="inlineStr">
        <is>
          <t>Skirts</t>
        </is>
      </c>
      <c r="G351" s="21" t="inlineStr">
        <is>
          <t>L</t>
        </is>
      </c>
      <c r="H351" s="13" t="n">
        <v>4</v>
      </c>
      <c r="I351" s="14" t="n">
        <v>4500</v>
      </c>
      <c r="J351" s="14">
        <f>H351*I351</f>
        <v/>
      </c>
      <c r="K351" s="14" t="n">
        <v>1600</v>
      </c>
      <c r="L351" s="14">
        <f>H351*K351</f>
        <v/>
      </c>
      <c r="M351" s="14">
        <f>J351-L351</f>
        <v/>
      </c>
      <c r="N351" s="21" t="inlineStr">
        <is>
          <t>WH-HYD-01</t>
        </is>
      </c>
      <c r="O351" s="21" t="inlineStr">
        <is>
          <t>Mobile App</t>
        </is>
      </c>
    </row>
    <row r="352" ht="19" customHeight="1">
      <c r="A352" s="20" t="inlineStr">
        <is>
          <t>ORD-2025008</t>
        </is>
      </c>
      <c r="B352" s="20" t="inlineStr">
        <is>
          <t>2026-03-31</t>
        </is>
      </c>
      <c r="C352" s="20" t="inlineStr">
        <is>
          <t>PD-002-S</t>
        </is>
      </c>
      <c r="D352" s="20" t="inlineStr">
        <is>
          <t>PD-002</t>
        </is>
      </c>
      <c r="E352" s="9" t="inlineStr">
        <is>
          <t>Merlot Satin Slip Dress</t>
        </is>
      </c>
      <c r="F352" s="9" t="inlineStr">
        <is>
          <t>Dresses</t>
        </is>
      </c>
      <c r="G352" s="20" t="inlineStr">
        <is>
          <t>S</t>
        </is>
      </c>
      <c r="H352" s="10" t="n">
        <v>3</v>
      </c>
      <c r="I352" s="11" t="n">
        <v>6200</v>
      </c>
      <c r="J352" s="11">
        <f>H352*I352</f>
        <v/>
      </c>
      <c r="K352" s="11" t="n">
        <v>2100</v>
      </c>
      <c r="L352" s="11">
        <f>H352*K352</f>
        <v/>
      </c>
      <c r="M352" s="11">
        <f>J352-L352</f>
        <v/>
      </c>
      <c r="N352" s="20" t="inlineStr">
        <is>
          <t>WH-DEL-03</t>
        </is>
      </c>
      <c r="O352" s="20" t="inlineStr">
        <is>
          <t>Mobile App</t>
        </is>
      </c>
    </row>
    <row r="353" ht="19" customHeight="1">
      <c r="A353" s="21" t="inlineStr">
        <is>
          <t>ORD-2025205</t>
        </is>
      </c>
      <c r="B353" s="21" t="inlineStr">
        <is>
          <t>2026-03-31</t>
        </is>
      </c>
      <c r="C353" s="21" t="inlineStr">
        <is>
          <t>PD-004-M</t>
        </is>
      </c>
      <c r="D353" s="21" t="inlineStr">
        <is>
          <t>PD-004</t>
        </is>
      </c>
      <c r="E353" s="12" t="inlineStr">
        <is>
          <t>Rosé Off-Shoulder Mini</t>
        </is>
      </c>
      <c r="F353" s="12" t="inlineStr">
        <is>
          <t>Dresses</t>
        </is>
      </c>
      <c r="G353" s="21" t="inlineStr">
        <is>
          <t>M</t>
        </is>
      </c>
      <c r="H353" s="13" t="n">
        <v>1</v>
      </c>
      <c r="I353" s="14" t="n">
        <v>4900</v>
      </c>
      <c r="J353" s="14">
        <f>H353*I353</f>
        <v/>
      </c>
      <c r="K353" s="14" t="n">
        <v>1800</v>
      </c>
      <c r="L353" s="14">
        <f>H353*K353</f>
        <v/>
      </c>
      <c r="M353" s="14">
        <f>J353-L353</f>
        <v/>
      </c>
      <c r="N353" s="21" t="inlineStr">
        <is>
          <t>WH-BLR-02</t>
        </is>
      </c>
      <c r="O353" s="21" t="inlineStr">
        <is>
          <t>Mobile App</t>
        </is>
      </c>
    </row>
    <row r="354" ht="19" customHeight="1">
      <c r="A354" s="20" t="inlineStr">
        <is>
          <t>ORD-2025335</t>
        </is>
      </c>
      <c r="B354" s="20" t="inlineStr">
        <is>
          <t>2026-03-31</t>
        </is>
      </c>
      <c r="C354" s="20" t="inlineStr">
        <is>
          <t>PD-005-XL</t>
        </is>
      </c>
      <c r="D354" s="20" t="inlineStr">
        <is>
          <t>PD-005</t>
        </is>
      </c>
      <c r="E354" s="9" t="inlineStr">
        <is>
          <t>Shiraz Wrap Evening Dress</t>
        </is>
      </c>
      <c r="F354" s="9" t="inlineStr">
        <is>
          <t>Dresses</t>
        </is>
      </c>
      <c r="G354" s="20" t="inlineStr">
        <is>
          <t>XL</t>
        </is>
      </c>
      <c r="H354" s="10" t="n">
        <v>4</v>
      </c>
      <c r="I354" s="11" t="n">
        <v>9200</v>
      </c>
      <c r="J354" s="11">
        <f>H354*I354</f>
        <v/>
      </c>
      <c r="K354" s="11" t="n">
        <v>3500</v>
      </c>
      <c r="L354" s="11">
        <f>H354*K354</f>
        <v/>
      </c>
      <c r="M354" s="11">
        <f>J354-L354</f>
        <v/>
      </c>
      <c r="N354" s="20" t="inlineStr">
        <is>
          <t>WH-DEL-03</t>
        </is>
      </c>
      <c r="O354" s="20" t="inlineStr">
        <is>
          <t>Mobile App</t>
        </is>
      </c>
    </row>
    <row r="355" ht="19" customHeight="1">
      <c r="A355" s="21" t="inlineStr">
        <is>
          <t>ORD-2025073</t>
        </is>
      </c>
      <c r="B355" s="21" t="inlineStr">
        <is>
          <t>2026-04-01</t>
        </is>
      </c>
      <c r="C355" s="21" t="inlineStr">
        <is>
          <t>PD-006-XS</t>
        </is>
      </c>
      <c r="D355" s="21" t="inlineStr">
        <is>
          <t>PD-006</t>
        </is>
      </c>
      <c r="E355" s="12" t="inlineStr">
        <is>
          <t>Chiffon Crimson Blouse</t>
        </is>
      </c>
      <c r="F355" s="12" t="inlineStr">
        <is>
          <t>Tops</t>
        </is>
      </c>
      <c r="G355" s="21" t="inlineStr">
        <is>
          <t>XS</t>
        </is>
      </c>
      <c r="H355" s="13" t="n">
        <v>5</v>
      </c>
      <c r="I355" s="14" t="n">
        <v>3200</v>
      </c>
      <c r="J355" s="14">
        <f>H355*I355</f>
        <v/>
      </c>
      <c r="K355" s="14" t="n">
        <v>1100</v>
      </c>
      <c r="L355" s="14">
        <f>H355*K355</f>
        <v/>
      </c>
      <c r="M355" s="14">
        <f>J355-L355</f>
        <v/>
      </c>
      <c r="N355" s="21" t="inlineStr">
        <is>
          <t>WH-BLR-02</t>
        </is>
      </c>
      <c r="O355" s="21" t="inlineStr">
        <is>
          <t>Online Store</t>
        </is>
      </c>
    </row>
    <row r="356" ht="19" customHeight="1">
      <c r="A356" s="20" t="inlineStr">
        <is>
          <t>ORD-2025201</t>
        </is>
      </c>
      <c r="B356" s="20" t="inlineStr">
        <is>
          <t>2026-04-01</t>
        </is>
      </c>
      <c r="C356" s="20" t="inlineStr">
        <is>
          <t>PD-010-XS</t>
        </is>
      </c>
      <c r="D356" s="20" t="inlineStr">
        <is>
          <t>PD-010</t>
        </is>
      </c>
      <c r="E356" s="9" t="inlineStr">
        <is>
          <t>Noir Tailored Blazer</t>
        </is>
      </c>
      <c r="F356" s="9" t="inlineStr">
        <is>
          <t>Outerwear</t>
        </is>
      </c>
      <c r="G356" s="20" t="inlineStr">
        <is>
          <t>XS</t>
        </is>
      </c>
      <c r="H356" s="10" t="n">
        <v>3</v>
      </c>
      <c r="I356" s="11" t="n">
        <v>11000</v>
      </c>
      <c r="J356" s="11">
        <f>H356*I356</f>
        <v/>
      </c>
      <c r="K356" s="11" t="n">
        <v>4200</v>
      </c>
      <c r="L356" s="11">
        <f>H356*K356</f>
        <v/>
      </c>
      <c r="M356" s="11">
        <f>J356-L356</f>
        <v/>
      </c>
      <c r="N356" s="20" t="inlineStr">
        <is>
          <t>WH-BLR-02</t>
        </is>
      </c>
      <c r="O356" s="20" t="inlineStr">
        <is>
          <t>Retail Store</t>
        </is>
      </c>
    </row>
    <row r="357" ht="19" customHeight="1">
      <c r="A357" s="21" t="inlineStr">
        <is>
          <t>ORD-2025323</t>
        </is>
      </c>
      <c r="B357" s="21" t="inlineStr">
        <is>
          <t>2026-04-02</t>
        </is>
      </c>
      <c r="C357" s="21" t="inlineStr">
        <is>
          <t>PD-009-XS</t>
        </is>
      </c>
      <c r="D357" s="21" t="inlineStr">
        <is>
          <t>PD-009</t>
        </is>
      </c>
      <c r="E357" s="12" t="inlineStr">
        <is>
          <t>Syrah Pleated Maxi Skirt</t>
        </is>
      </c>
      <c r="F357" s="12" t="inlineStr">
        <is>
          <t>Skirts</t>
        </is>
      </c>
      <c r="G357" s="21" t="inlineStr">
        <is>
          <t>XS</t>
        </is>
      </c>
      <c r="H357" s="13" t="n">
        <v>1</v>
      </c>
      <c r="I357" s="14" t="n">
        <v>5400</v>
      </c>
      <c r="J357" s="14">
        <f>H357*I357</f>
        <v/>
      </c>
      <c r="K357" s="14" t="n">
        <v>1900</v>
      </c>
      <c r="L357" s="14">
        <f>H357*K357</f>
        <v/>
      </c>
      <c r="M357" s="14">
        <f>J357-L357</f>
        <v/>
      </c>
      <c r="N357" s="21" t="inlineStr">
        <is>
          <t>WH-DEL-03</t>
        </is>
      </c>
      <c r="O357" s="21" t="inlineStr">
        <is>
          <t>Mobile App</t>
        </is>
      </c>
    </row>
    <row r="358" ht="19" customHeight="1">
      <c r="A358" s="20" t="inlineStr">
        <is>
          <t>ORD-2025466</t>
        </is>
      </c>
      <c r="B358" s="20" t="inlineStr">
        <is>
          <t>2026-04-04</t>
        </is>
      </c>
      <c r="C358" s="20" t="inlineStr">
        <is>
          <t>PD-002-L</t>
        </is>
      </c>
      <c r="D358" s="20" t="inlineStr">
        <is>
          <t>PD-002</t>
        </is>
      </c>
      <c r="E358" s="9" t="inlineStr">
        <is>
          <t>Merlot Satin Slip Dress</t>
        </is>
      </c>
      <c r="F358" s="9" t="inlineStr">
        <is>
          <t>Dresses</t>
        </is>
      </c>
      <c r="G358" s="20" t="inlineStr">
        <is>
          <t>L</t>
        </is>
      </c>
      <c r="H358" s="10" t="n">
        <v>3</v>
      </c>
      <c r="I358" s="11" t="n">
        <v>6200</v>
      </c>
      <c r="J358" s="11">
        <f>H358*I358</f>
        <v/>
      </c>
      <c r="K358" s="11" t="n">
        <v>2100</v>
      </c>
      <c r="L358" s="11">
        <f>H358*K358</f>
        <v/>
      </c>
      <c r="M358" s="11">
        <f>J358-L358</f>
        <v/>
      </c>
      <c r="N358" s="20" t="inlineStr">
        <is>
          <t>WH-DEL-03</t>
        </is>
      </c>
      <c r="O358" s="20" t="inlineStr">
        <is>
          <t>Retail Store</t>
        </is>
      </c>
    </row>
    <row r="359" ht="19" customHeight="1">
      <c r="A359" s="21" t="inlineStr">
        <is>
          <t>ORD-2025321</t>
        </is>
      </c>
      <c r="B359" s="21" t="inlineStr">
        <is>
          <t>2026-04-09</t>
        </is>
      </c>
      <c r="C359" s="21" t="inlineStr">
        <is>
          <t>PD-002-XS</t>
        </is>
      </c>
      <c r="D359" s="21" t="inlineStr">
        <is>
          <t>PD-002</t>
        </is>
      </c>
      <c r="E359" s="12" t="inlineStr">
        <is>
          <t>Merlot Satin Slip Dress</t>
        </is>
      </c>
      <c r="F359" s="12" t="inlineStr">
        <is>
          <t>Dresses</t>
        </is>
      </c>
      <c r="G359" s="21" t="inlineStr">
        <is>
          <t>XS</t>
        </is>
      </c>
      <c r="H359" s="13" t="n">
        <v>4</v>
      </c>
      <c r="I359" s="14" t="n">
        <v>6200</v>
      </c>
      <c r="J359" s="14">
        <f>H359*I359</f>
        <v/>
      </c>
      <c r="K359" s="14" t="n">
        <v>2100</v>
      </c>
      <c r="L359" s="14">
        <f>H359*K359</f>
        <v/>
      </c>
      <c r="M359" s="14">
        <f>J359-L359</f>
        <v/>
      </c>
      <c r="N359" s="21" t="inlineStr">
        <is>
          <t>WH-BLR-02</t>
        </is>
      </c>
      <c r="O359" s="21" t="inlineStr">
        <is>
          <t>Mobile App</t>
        </is>
      </c>
    </row>
    <row r="360" ht="19" customHeight="1">
      <c r="A360" s="20" t="inlineStr">
        <is>
          <t>ORD-2025355</t>
        </is>
      </c>
      <c r="B360" s="20" t="inlineStr">
        <is>
          <t>2026-04-10</t>
        </is>
      </c>
      <c r="C360" s="20" t="inlineStr">
        <is>
          <t>PD-001-M</t>
        </is>
      </c>
      <c r="D360" s="20" t="inlineStr">
        <is>
          <t>PD-001</t>
        </is>
      </c>
      <c r="E360" s="9" t="inlineStr">
        <is>
          <t>Cabernet Velvet Gown</t>
        </is>
      </c>
      <c r="F360" s="9" t="inlineStr">
        <is>
          <t>Dresses</t>
        </is>
      </c>
      <c r="G360" s="20" t="inlineStr">
        <is>
          <t>M</t>
        </is>
      </c>
      <c r="H360" s="10" t="n">
        <v>3</v>
      </c>
      <c r="I360" s="11" t="n">
        <v>8500</v>
      </c>
      <c r="J360" s="11">
        <f>H360*I360</f>
        <v/>
      </c>
      <c r="K360" s="11" t="n">
        <v>3200</v>
      </c>
      <c r="L360" s="11">
        <f>H360*K360</f>
        <v/>
      </c>
      <c r="M360" s="11">
        <f>J360-L360</f>
        <v/>
      </c>
      <c r="N360" s="20" t="inlineStr">
        <is>
          <t>WH-DEL-03</t>
        </is>
      </c>
      <c r="O360" s="20" t="inlineStr">
        <is>
          <t>Online Store</t>
        </is>
      </c>
    </row>
    <row r="361" ht="19" customHeight="1">
      <c r="A361" s="21" t="inlineStr">
        <is>
          <t>ORD-2025363</t>
        </is>
      </c>
      <c r="B361" s="21" t="inlineStr">
        <is>
          <t>2026-04-11</t>
        </is>
      </c>
      <c r="C361" s="21" t="inlineStr">
        <is>
          <t>PD-006-S</t>
        </is>
      </c>
      <c r="D361" s="21" t="inlineStr">
        <is>
          <t>PD-006</t>
        </is>
      </c>
      <c r="E361" s="12" t="inlineStr">
        <is>
          <t>Chiffon Crimson Blouse</t>
        </is>
      </c>
      <c r="F361" s="12" t="inlineStr">
        <is>
          <t>Tops</t>
        </is>
      </c>
      <c r="G361" s="21" t="inlineStr">
        <is>
          <t>S</t>
        </is>
      </c>
      <c r="H361" s="13" t="n">
        <v>2</v>
      </c>
      <c r="I361" s="14" t="n">
        <v>3200</v>
      </c>
      <c r="J361" s="14">
        <f>H361*I361</f>
        <v/>
      </c>
      <c r="K361" s="14" t="n">
        <v>1100</v>
      </c>
      <c r="L361" s="14">
        <f>H361*K361</f>
        <v/>
      </c>
      <c r="M361" s="14">
        <f>J361-L361</f>
        <v/>
      </c>
      <c r="N361" s="21" t="inlineStr">
        <is>
          <t>WH-HYD-01</t>
        </is>
      </c>
      <c r="O361" s="21" t="inlineStr">
        <is>
          <t>Mobile App</t>
        </is>
      </c>
    </row>
    <row r="362" ht="19" customHeight="1">
      <c r="A362" s="20" t="inlineStr">
        <is>
          <t>ORD-2025243</t>
        </is>
      </c>
      <c r="B362" s="20" t="inlineStr">
        <is>
          <t>2026-04-12</t>
        </is>
      </c>
      <c r="C362" s="20" t="inlineStr">
        <is>
          <t>PD-007-M</t>
        </is>
      </c>
      <c r="D362" s="20" t="inlineStr">
        <is>
          <t>PD-007</t>
        </is>
      </c>
      <c r="E362" s="9" t="inlineStr">
        <is>
          <t>Burgundy Trench Coat</t>
        </is>
      </c>
      <c r="F362" s="9" t="inlineStr">
        <is>
          <t>Outerwear</t>
        </is>
      </c>
      <c r="G362" s="20" t="inlineStr">
        <is>
          <t>M</t>
        </is>
      </c>
      <c r="H362" s="10" t="n">
        <v>3</v>
      </c>
      <c r="I362" s="11" t="n">
        <v>12500</v>
      </c>
      <c r="J362" s="11">
        <f>H362*I362</f>
        <v/>
      </c>
      <c r="K362" s="11" t="n">
        <v>4800</v>
      </c>
      <c r="L362" s="11">
        <f>H362*K362</f>
        <v/>
      </c>
      <c r="M362" s="11">
        <f>J362-L362</f>
        <v/>
      </c>
      <c r="N362" s="20" t="inlineStr">
        <is>
          <t>WH-HYD-01</t>
        </is>
      </c>
      <c r="O362" s="20" t="inlineStr">
        <is>
          <t>Retail Store</t>
        </is>
      </c>
    </row>
    <row r="363" ht="19" customHeight="1">
      <c r="A363" s="21" t="inlineStr">
        <is>
          <t>ORD-2025158</t>
        </is>
      </c>
      <c r="B363" s="21" t="inlineStr">
        <is>
          <t>2026-04-14</t>
        </is>
      </c>
      <c r="C363" s="21" t="inlineStr">
        <is>
          <t>PD-002-L</t>
        </is>
      </c>
      <c r="D363" s="21" t="inlineStr">
        <is>
          <t>PD-002</t>
        </is>
      </c>
      <c r="E363" s="12" t="inlineStr">
        <is>
          <t>Merlot Satin Slip Dress</t>
        </is>
      </c>
      <c r="F363" s="12" t="inlineStr">
        <is>
          <t>Dresses</t>
        </is>
      </c>
      <c r="G363" s="21" t="inlineStr">
        <is>
          <t>L</t>
        </is>
      </c>
      <c r="H363" s="13" t="n">
        <v>3</v>
      </c>
      <c r="I363" s="14" t="n">
        <v>6200</v>
      </c>
      <c r="J363" s="14">
        <f>H363*I363</f>
        <v/>
      </c>
      <c r="K363" s="14" t="n">
        <v>2100</v>
      </c>
      <c r="L363" s="14">
        <f>H363*K363</f>
        <v/>
      </c>
      <c r="M363" s="14">
        <f>J363-L363</f>
        <v/>
      </c>
      <c r="N363" s="21" t="inlineStr">
        <is>
          <t>WH-HYD-01</t>
        </is>
      </c>
      <c r="O363" s="21" t="inlineStr">
        <is>
          <t>Online Store</t>
        </is>
      </c>
    </row>
    <row r="364" ht="19" customHeight="1">
      <c r="A364" s="20" t="inlineStr">
        <is>
          <t>ORD-2025029</t>
        </is>
      </c>
      <c r="B364" s="20" t="inlineStr">
        <is>
          <t>2026-04-15</t>
        </is>
      </c>
      <c r="C364" s="20" t="inlineStr">
        <is>
          <t>PD-006-L</t>
        </is>
      </c>
      <c r="D364" s="20" t="inlineStr">
        <is>
          <t>PD-006</t>
        </is>
      </c>
      <c r="E364" s="9" t="inlineStr">
        <is>
          <t>Chiffon Crimson Blouse</t>
        </is>
      </c>
      <c r="F364" s="9" t="inlineStr">
        <is>
          <t>Tops</t>
        </is>
      </c>
      <c r="G364" s="20" t="inlineStr">
        <is>
          <t>L</t>
        </is>
      </c>
      <c r="H364" s="10" t="n">
        <v>2</v>
      </c>
      <c r="I364" s="11" t="n">
        <v>3200</v>
      </c>
      <c r="J364" s="11">
        <f>H364*I364</f>
        <v/>
      </c>
      <c r="K364" s="11" t="n">
        <v>1100</v>
      </c>
      <c r="L364" s="11">
        <f>H364*K364</f>
        <v/>
      </c>
      <c r="M364" s="11">
        <f>J364-L364</f>
        <v/>
      </c>
      <c r="N364" s="20" t="inlineStr">
        <is>
          <t>WH-BLR-02</t>
        </is>
      </c>
      <c r="O364" s="20" t="inlineStr">
        <is>
          <t>Online Store</t>
        </is>
      </c>
    </row>
    <row r="365" ht="19" customHeight="1">
      <c r="A365" s="21" t="inlineStr">
        <is>
          <t>ORD-2025492</t>
        </is>
      </c>
      <c r="B365" s="21" t="inlineStr">
        <is>
          <t>2026-04-16</t>
        </is>
      </c>
      <c r="C365" s="21" t="inlineStr">
        <is>
          <t>PD-004-M</t>
        </is>
      </c>
      <c r="D365" s="21" t="inlineStr">
        <is>
          <t>PD-004</t>
        </is>
      </c>
      <c r="E365" s="12" t="inlineStr">
        <is>
          <t>Rosé Off-Shoulder Mini</t>
        </is>
      </c>
      <c r="F365" s="12" t="inlineStr">
        <is>
          <t>Dresses</t>
        </is>
      </c>
      <c r="G365" s="21" t="inlineStr">
        <is>
          <t>M</t>
        </is>
      </c>
      <c r="H365" s="13" t="n">
        <v>5</v>
      </c>
      <c r="I365" s="14" t="n">
        <v>4900</v>
      </c>
      <c r="J365" s="14">
        <f>H365*I365</f>
        <v/>
      </c>
      <c r="K365" s="14" t="n">
        <v>1800</v>
      </c>
      <c r="L365" s="14">
        <f>H365*K365</f>
        <v/>
      </c>
      <c r="M365" s="14">
        <f>J365-L365</f>
        <v/>
      </c>
      <c r="N365" s="21" t="inlineStr">
        <is>
          <t>WH-DEL-03</t>
        </is>
      </c>
      <c r="O365" s="21" t="inlineStr">
        <is>
          <t>Retail Store</t>
        </is>
      </c>
    </row>
    <row r="366" ht="19" customHeight="1">
      <c r="A366" s="20" t="inlineStr">
        <is>
          <t>ORD-2025010</t>
        </is>
      </c>
      <c r="B366" s="20" t="inlineStr">
        <is>
          <t>2026-04-17</t>
        </is>
      </c>
      <c r="C366" s="20" t="inlineStr">
        <is>
          <t>PD-010-XL</t>
        </is>
      </c>
      <c r="D366" s="20" t="inlineStr">
        <is>
          <t>PD-010</t>
        </is>
      </c>
      <c r="E366" s="9" t="inlineStr">
        <is>
          <t>Noir Tailored Blazer</t>
        </is>
      </c>
      <c r="F366" s="9" t="inlineStr">
        <is>
          <t>Outerwear</t>
        </is>
      </c>
      <c r="G366" s="20" t="inlineStr">
        <is>
          <t>XL</t>
        </is>
      </c>
      <c r="H366" s="10" t="n">
        <v>5</v>
      </c>
      <c r="I366" s="11" t="n">
        <v>11000</v>
      </c>
      <c r="J366" s="11">
        <f>H366*I366</f>
        <v/>
      </c>
      <c r="K366" s="11" t="n">
        <v>4200</v>
      </c>
      <c r="L366" s="11">
        <f>H366*K366</f>
        <v/>
      </c>
      <c r="M366" s="11">
        <f>J366-L366</f>
        <v/>
      </c>
      <c r="N366" s="20" t="inlineStr">
        <is>
          <t>WH-HYD-01</t>
        </is>
      </c>
      <c r="O366" s="20" t="inlineStr">
        <is>
          <t>Mobile App</t>
        </is>
      </c>
    </row>
    <row r="367" ht="19" customHeight="1">
      <c r="A367" s="21" t="inlineStr">
        <is>
          <t>ORD-2025016</t>
        </is>
      </c>
      <c r="B367" s="21" t="inlineStr">
        <is>
          <t>2026-04-17</t>
        </is>
      </c>
      <c r="C367" s="21" t="inlineStr">
        <is>
          <t>PD-010-L</t>
        </is>
      </c>
      <c r="D367" s="21" t="inlineStr">
        <is>
          <t>PD-010</t>
        </is>
      </c>
      <c r="E367" s="12" t="inlineStr">
        <is>
          <t>Noir Tailored Blazer</t>
        </is>
      </c>
      <c r="F367" s="12" t="inlineStr">
        <is>
          <t>Outerwear</t>
        </is>
      </c>
      <c r="G367" s="21" t="inlineStr">
        <is>
          <t>L</t>
        </is>
      </c>
      <c r="H367" s="13" t="n">
        <v>2</v>
      </c>
      <c r="I367" s="14" t="n">
        <v>11000</v>
      </c>
      <c r="J367" s="14">
        <f>H367*I367</f>
        <v/>
      </c>
      <c r="K367" s="14" t="n">
        <v>4200</v>
      </c>
      <c r="L367" s="14">
        <f>H367*K367</f>
        <v/>
      </c>
      <c r="M367" s="14">
        <f>J367-L367</f>
        <v/>
      </c>
      <c r="N367" s="21" t="inlineStr">
        <is>
          <t>WH-DEL-03</t>
        </is>
      </c>
      <c r="O367" s="21" t="inlineStr">
        <is>
          <t>Retail Store</t>
        </is>
      </c>
    </row>
    <row r="368" ht="19" customHeight="1">
      <c r="A368" s="20" t="inlineStr">
        <is>
          <t>ORD-2025106</t>
        </is>
      </c>
      <c r="B368" s="20" t="inlineStr">
        <is>
          <t>2026-04-17</t>
        </is>
      </c>
      <c r="C368" s="20" t="inlineStr">
        <is>
          <t>PD-002-XS</t>
        </is>
      </c>
      <c r="D368" s="20" t="inlineStr">
        <is>
          <t>PD-002</t>
        </is>
      </c>
      <c r="E368" s="9" t="inlineStr">
        <is>
          <t>Merlot Satin Slip Dress</t>
        </is>
      </c>
      <c r="F368" s="9" t="inlineStr">
        <is>
          <t>Dresses</t>
        </is>
      </c>
      <c r="G368" s="20" t="inlineStr">
        <is>
          <t>XS</t>
        </is>
      </c>
      <c r="H368" s="10" t="n">
        <v>2</v>
      </c>
      <c r="I368" s="11" t="n">
        <v>6200</v>
      </c>
      <c r="J368" s="11">
        <f>H368*I368</f>
        <v/>
      </c>
      <c r="K368" s="11" t="n">
        <v>2100</v>
      </c>
      <c r="L368" s="11">
        <f>H368*K368</f>
        <v/>
      </c>
      <c r="M368" s="11">
        <f>J368-L368</f>
        <v/>
      </c>
      <c r="N368" s="20" t="inlineStr">
        <is>
          <t>WH-HYD-01</t>
        </is>
      </c>
      <c r="O368" s="20" t="inlineStr">
        <is>
          <t>Online Store</t>
        </is>
      </c>
    </row>
    <row r="369" ht="19" customHeight="1">
      <c r="A369" s="21" t="inlineStr">
        <is>
          <t>ORD-2025181</t>
        </is>
      </c>
      <c r="B369" s="21" t="inlineStr">
        <is>
          <t>2026-04-17</t>
        </is>
      </c>
      <c r="C369" s="21" t="inlineStr">
        <is>
          <t>PD-007-S</t>
        </is>
      </c>
      <c r="D369" s="21" t="inlineStr">
        <is>
          <t>PD-007</t>
        </is>
      </c>
      <c r="E369" s="12" t="inlineStr">
        <is>
          <t>Burgundy Trench Coat</t>
        </is>
      </c>
      <c r="F369" s="12" t="inlineStr">
        <is>
          <t>Outerwear</t>
        </is>
      </c>
      <c r="G369" s="21" t="inlineStr">
        <is>
          <t>S</t>
        </is>
      </c>
      <c r="H369" s="13" t="n">
        <v>4</v>
      </c>
      <c r="I369" s="14" t="n">
        <v>12500</v>
      </c>
      <c r="J369" s="14">
        <f>H369*I369</f>
        <v/>
      </c>
      <c r="K369" s="14" t="n">
        <v>4800</v>
      </c>
      <c r="L369" s="14">
        <f>H369*K369</f>
        <v/>
      </c>
      <c r="M369" s="14">
        <f>J369-L369</f>
        <v/>
      </c>
      <c r="N369" s="21" t="inlineStr">
        <is>
          <t>WH-HYD-01</t>
        </is>
      </c>
      <c r="O369" s="21" t="inlineStr">
        <is>
          <t>Mobile App</t>
        </is>
      </c>
    </row>
    <row r="370" ht="19" customHeight="1">
      <c r="A370" s="20" t="inlineStr">
        <is>
          <t>ORD-2025038</t>
        </is>
      </c>
      <c r="B370" s="20" t="inlineStr">
        <is>
          <t>2026-04-18</t>
        </is>
      </c>
      <c r="C370" s="20" t="inlineStr">
        <is>
          <t>PD-001-L</t>
        </is>
      </c>
      <c r="D370" s="20" t="inlineStr">
        <is>
          <t>PD-001</t>
        </is>
      </c>
      <c r="E370" s="9" t="inlineStr">
        <is>
          <t>Cabernet Velvet Gown</t>
        </is>
      </c>
      <c r="F370" s="9" t="inlineStr">
        <is>
          <t>Dresses</t>
        </is>
      </c>
      <c r="G370" s="20" t="inlineStr">
        <is>
          <t>L</t>
        </is>
      </c>
      <c r="H370" s="10" t="n">
        <v>3</v>
      </c>
      <c r="I370" s="11" t="n">
        <v>8500</v>
      </c>
      <c r="J370" s="11">
        <f>H370*I370</f>
        <v/>
      </c>
      <c r="K370" s="11" t="n">
        <v>3200</v>
      </c>
      <c r="L370" s="11">
        <f>H370*K370</f>
        <v/>
      </c>
      <c r="M370" s="11">
        <f>J370-L370</f>
        <v/>
      </c>
      <c r="N370" s="20" t="inlineStr">
        <is>
          <t>WH-HYD-01</t>
        </is>
      </c>
      <c r="O370" s="20" t="inlineStr">
        <is>
          <t>Online Store</t>
        </is>
      </c>
    </row>
    <row r="371" ht="19" customHeight="1">
      <c r="A371" s="21" t="inlineStr">
        <is>
          <t>ORD-2025113</t>
        </is>
      </c>
      <c r="B371" s="21" t="inlineStr">
        <is>
          <t>2026-04-20</t>
        </is>
      </c>
      <c r="C371" s="21" t="inlineStr">
        <is>
          <t>PD-008-L</t>
        </is>
      </c>
      <c r="D371" s="21" t="inlineStr">
        <is>
          <t>PD-008</t>
        </is>
      </c>
      <c r="E371" s="12" t="inlineStr">
        <is>
          <t>Tuscan Sun Silk Skirt</t>
        </is>
      </c>
      <c r="F371" s="12" t="inlineStr">
        <is>
          <t>Skirts</t>
        </is>
      </c>
      <c r="G371" s="21" t="inlineStr">
        <is>
          <t>L</t>
        </is>
      </c>
      <c r="H371" s="13" t="n">
        <v>2</v>
      </c>
      <c r="I371" s="14" t="n">
        <v>4500</v>
      </c>
      <c r="J371" s="14">
        <f>H371*I371</f>
        <v/>
      </c>
      <c r="K371" s="14" t="n">
        <v>1600</v>
      </c>
      <c r="L371" s="14">
        <f>H371*K371</f>
        <v/>
      </c>
      <c r="M371" s="14">
        <f>J371-L371</f>
        <v/>
      </c>
      <c r="N371" s="21" t="inlineStr">
        <is>
          <t>WH-BLR-02</t>
        </is>
      </c>
      <c r="O371" s="21" t="inlineStr">
        <is>
          <t>Online Store</t>
        </is>
      </c>
    </row>
    <row r="372" ht="19" customHeight="1">
      <c r="A372" s="20" t="inlineStr">
        <is>
          <t>ORD-2025483</t>
        </is>
      </c>
      <c r="B372" s="20" t="inlineStr">
        <is>
          <t>2026-04-20</t>
        </is>
      </c>
      <c r="C372" s="20" t="inlineStr">
        <is>
          <t>PD-005-M</t>
        </is>
      </c>
      <c r="D372" s="20" t="inlineStr">
        <is>
          <t>PD-005</t>
        </is>
      </c>
      <c r="E372" s="9" t="inlineStr">
        <is>
          <t>Shiraz Wrap Evening Dress</t>
        </is>
      </c>
      <c r="F372" s="9" t="inlineStr">
        <is>
          <t>Dresses</t>
        </is>
      </c>
      <c r="G372" s="20" t="inlineStr">
        <is>
          <t>M</t>
        </is>
      </c>
      <c r="H372" s="10" t="n">
        <v>3</v>
      </c>
      <c r="I372" s="11" t="n">
        <v>9200</v>
      </c>
      <c r="J372" s="11">
        <f>H372*I372</f>
        <v/>
      </c>
      <c r="K372" s="11" t="n">
        <v>3500</v>
      </c>
      <c r="L372" s="11">
        <f>H372*K372</f>
        <v/>
      </c>
      <c r="M372" s="11">
        <f>J372-L372</f>
        <v/>
      </c>
      <c r="N372" s="20" t="inlineStr">
        <is>
          <t>WH-DEL-03</t>
        </is>
      </c>
      <c r="O372" s="20" t="inlineStr">
        <is>
          <t>Retail Store</t>
        </is>
      </c>
    </row>
    <row r="373" ht="19" customHeight="1">
      <c r="A373" s="21" t="inlineStr">
        <is>
          <t>ORD-2025375</t>
        </is>
      </c>
      <c r="B373" s="21" t="inlineStr">
        <is>
          <t>2026-04-21</t>
        </is>
      </c>
      <c r="C373" s="21" t="inlineStr">
        <is>
          <t>PD-010-S</t>
        </is>
      </c>
      <c r="D373" s="21" t="inlineStr">
        <is>
          <t>PD-010</t>
        </is>
      </c>
      <c r="E373" s="12" t="inlineStr">
        <is>
          <t>Noir Tailored Blazer</t>
        </is>
      </c>
      <c r="F373" s="12" t="inlineStr">
        <is>
          <t>Outerwear</t>
        </is>
      </c>
      <c r="G373" s="21" t="inlineStr">
        <is>
          <t>S</t>
        </is>
      </c>
      <c r="H373" s="13" t="n">
        <v>5</v>
      </c>
      <c r="I373" s="14" t="n">
        <v>11000</v>
      </c>
      <c r="J373" s="14">
        <f>H373*I373</f>
        <v/>
      </c>
      <c r="K373" s="14" t="n">
        <v>4200</v>
      </c>
      <c r="L373" s="14">
        <f>H373*K373</f>
        <v/>
      </c>
      <c r="M373" s="14">
        <f>J373-L373</f>
        <v/>
      </c>
      <c r="N373" s="21" t="inlineStr">
        <is>
          <t>WH-DEL-03</t>
        </is>
      </c>
      <c r="O373" s="21" t="inlineStr">
        <is>
          <t>Retail Store</t>
        </is>
      </c>
    </row>
    <row r="374" ht="19" customHeight="1">
      <c r="A374" s="20" t="inlineStr">
        <is>
          <t>ORD-2025031</t>
        </is>
      </c>
      <c r="B374" s="20" t="inlineStr">
        <is>
          <t>2026-04-22</t>
        </is>
      </c>
      <c r="C374" s="20" t="inlineStr">
        <is>
          <t>PD-002-S</t>
        </is>
      </c>
      <c r="D374" s="20" t="inlineStr">
        <is>
          <t>PD-002</t>
        </is>
      </c>
      <c r="E374" s="9" t="inlineStr">
        <is>
          <t>Merlot Satin Slip Dress</t>
        </is>
      </c>
      <c r="F374" s="9" t="inlineStr">
        <is>
          <t>Dresses</t>
        </is>
      </c>
      <c r="G374" s="20" t="inlineStr">
        <is>
          <t>S</t>
        </is>
      </c>
      <c r="H374" s="10" t="n">
        <v>1</v>
      </c>
      <c r="I374" s="11" t="n">
        <v>6200</v>
      </c>
      <c r="J374" s="11">
        <f>H374*I374</f>
        <v/>
      </c>
      <c r="K374" s="11" t="n">
        <v>2100</v>
      </c>
      <c r="L374" s="11">
        <f>H374*K374</f>
        <v/>
      </c>
      <c r="M374" s="11">
        <f>J374-L374</f>
        <v/>
      </c>
      <c r="N374" s="20" t="inlineStr">
        <is>
          <t>WH-DEL-03</t>
        </is>
      </c>
      <c r="O374" s="20" t="inlineStr">
        <is>
          <t>Mobile App</t>
        </is>
      </c>
    </row>
    <row r="375" ht="19" customHeight="1">
      <c r="A375" s="21" t="inlineStr">
        <is>
          <t>ORD-2025151</t>
        </is>
      </c>
      <c r="B375" s="21" t="inlineStr">
        <is>
          <t>2026-04-22</t>
        </is>
      </c>
      <c r="C375" s="21" t="inlineStr">
        <is>
          <t>PD-005-S</t>
        </is>
      </c>
      <c r="D375" s="21" t="inlineStr">
        <is>
          <t>PD-005</t>
        </is>
      </c>
      <c r="E375" s="12" t="inlineStr">
        <is>
          <t>Shiraz Wrap Evening Dress</t>
        </is>
      </c>
      <c r="F375" s="12" t="inlineStr">
        <is>
          <t>Dresses</t>
        </is>
      </c>
      <c r="G375" s="21" t="inlineStr">
        <is>
          <t>S</t>
        </is>
      </c>
      <c r="H375" s="13" t="n">
        <v>3</v>
      </c>
      <c r="I375" s="14" t="n">
        <v>9200</v>
      </c>
      <c r="J375" s="14">
        <f>H375*I375</f>
        <v/>
      </c>
      <c r="K375" s="14" t="n">
        <v>3500</v>
      </c>
      <c r="L375" s="14">
        <f>H375*K375</f>
        <v/>
      </c>
      <c r="M375" s="14">
        <f>J375-L375</f>
        <v/>
      </c>
      <c r="N375" s="21" t="inlineStr">
        <is>
          <t>WH-DEL-03</t>
        </is>
      </c>
      <c r="O375" s="21" t="inlineStr">
        <is>
          <t>Retail Store</t>
        </is>
      </c>
    </row>
    <row r="376" ht="19" customHeight="1">
      <c r="A376" s="20" t="inlineStr">
        <is>
          <t>ORD-2025460</t>
        </is>
      </c>
      <c r="B376" s="20" t="inlineStr">
        <is>
          <t>2026-04-22</t>
        </is>
      </c>
      <c r="C376" s="20" t="inlineStr">
        <is>
          <t>PD-004-M</t>
        </is>
      </c>
      <c r="D376" s="20" t="inlineStr">
        <is>
          <t>PD-004</t>
        </is>
      </c>
      <c r="E376" s="9" t="inlineStr">
        <is>
          <t>Rosé Off-Shoulder Mini</t>
        </is>
      </c>
      <c r="F376" s="9" t="inlineStr">
        <is>
          <t>Dresses</t>
        </is>
      </c>
      <c r="G376" s="20" t="inlineStr">
        <is>
          <t>M</t>
        </is>
      </c>
      <c r="H376" s="10" t="n">
        <v>5</v>
      </c>
      <c r="I376" s="11" t="n">
        <v>4900</v>
      </c>
      <c r="J376" s="11">
        <f>H376*I376</f>
        <v/>
      </c>
      <c r="K376" s="11" t="n">
        <v>1800</v>
      </c>
      <c r="L376" s="11">
        <f>H376*K376</f>
        <v/>
      </c>
      <c r="M376" s="11">
        <f>J376-L376</f>
        <v/>
      </c>
      <c r="N376" s="20" t="inlineStr">
        <is>
          <t>WH-DEL-03</t>
        </is>
      </c>
      <c r="O376" s="20" t="inlineStr">
        <is>
          <t>Mobile App</t>
        </is>
      </c>
    </row>
    <row r="377" ht="19" customHeight="1">
      <c r="A377" s="21" t="inlineStr">
        <is>
          <t>ORD-2025428</t>
        </is>
      </c>
      <c r="B377" s="21" t="inlineStr">
        <is>
          <t>2026-04-23</t>
        </is>
      </c>
      <c r="C377" s="21" t="inlineStr">
        <is>
          <t>PD-009-XS</t>
        </is>
      </c>
      <c r="D377" s="21" t="inlineStr">
        <is>
          <t>PD-009</t>
        </is>
      </c>
      <c r="E377" s="12" t="inlineStr">
        <is>
          <t>Syrah Pleated Maxi Skirt</t>
        </is>
      </c>
      <c r="F377" s="12" t="inlineStr">
        <is>
          <t>Skirts</t>
        </is>
      </c>
      <c r="G377" s="21" t="inlineStr">
        <is>
          <t>XS</t>
        </is>
      </c>
      <c r="H377" s="13" t="n">
        <v>5</v>
      </c>
      <c r="I377" s="14" t="n">
        <v>5400</v>
      </c>
      <c r="J377" s="14">
        <f>H377*I377</f>
        <v/>
      </c>
      <c r="K377" s="14" t="n">
        <v>1900</v>
      </c>
      <c r="L377" s="14">
        <f>H377*K377</f>
        <v/>
      </c>
      <c r="M377" s="14">
        <f>J377-L377</f>
        <v/>
      </c>
      <c r="N377" s="21" t="inlineStr">
        <is>
          <t>WH-HYD-01</t>
        </is>
      </c>
      <c r="O377" s="21" t="inlineStr">
        <is>
          <t>Online Store</t>
        </is>
      </c>
    </row>
    <row r="378" ht="19" customHeight="1">
      <c r="A378" s="20" t="inlineStr">
        <is>
          <t>ORD-2025054</t>
        </is>
      </c>
      <c r="B378" s="20" t="inlineStr">
        <is>
          <t>2026-04-24</t>
        </is>
      </c>
      <c r="C378" s="20" t="inlineStr">
        <is>
          <t>PD-002-XL</t>
        </is>
      </c>
      <c r="D378" s="20" t="inlineStr">
        <is>
          <t>PD-002</t>
        </is>
      </c>
      <c r="E378" s="9" t="inlineStr">
        <is>
          <t>Merlot Satin Slip Dress</t>
        </is>
      </c>
      <c r="F378" s="9" t="inlineStr">
        <is>
          <t>Dresses</t>
        </is>
      </c>
      <c r="G378" s="20" t="inlineStr">
        <is>
          <t>XL</t>
        </is>
      </c>
      <c r="H378" s="10" t="n">
        <v>3</v>
      </c>
      <c r="I378" s="11" t="n">
        <v>6200</v>
      </c>
      <c r="J378" s="11">
        <f>H378*I378</f>
        <v/>
      </c>
      <c r="K378" s="11" t="n">
        <v>2100</v>
      </c>
      <c r="L378" s="11">
        <f>H378*K378</f>
        <v/>
      </c>
      <c r="M378" s="11">
        <f>J378-L378</f>
        <v/>
      </c>
      <c r="N378" s="20" t="inlineStr">
        <is>
          <t>WH-BLR-02</t>
        </is>
      </c>
      <c r="O378" s="20" t="inlineStr">
        <is>
          <t>Mobile App</t>
        </is>
      </c>
    </row>
    <row r="379" ht="19" customHeight="1">
      <c r="A379" s="21" t="inlineStr">
        <is>
          <t>ORD-2025150</t>
        </is>
      </c>
      <c r="B379" s="21" t="inlineStr">
        <is>
          <t>2026-04-24</t>
        </is>
      </c>
      <c r="C379" s="21" t="inlineStr">
        <is>
          <t>PD-007-L</t>
        </is>
      </c>
      <c r="D379" s="21" t="inlineStr">
        <is>
          <t>PD-007</t>
        </is>
      </c>
      <c r="E379" s="12" t="inlineStr">
        <is>
          <t>Burgundy Trench Coat</t>
        </is>
      </c>
      <c r="F379" s="12" t="inlineStr">
        <is>
          <t>Outerwear</t>
        </is>
      </c>
      <c r="G379" s="21" t="inlineStr">
        <is>
          <t>L</t>
        </is>
      </c>
      <c r="H379" s="13" t="n">
        <v>3</v>
      </c>
      <c r="I379" s="14" t="n">
        <v>12500</v>
      </c>
      <c r="J379" s="14">
        <f>H379*I379</f>
        <v/>
      </c>
      <c r="K379" s="14" t="n">
        <v>4800</v>
      </c>
      <c r="L379" s="14">
        <f>H379*K379</f>
        <v/>
      </c>
      <c r="M379" s="14">
        <f>J379-L379</f>
        <v/>
      </c>
      <c r="N379" s="21" t="inlineStr">
        <is>
          <t>WH-BLR-02</t>
        </is>
      </c>
      <c r="O379" s="21" t="inlineStr">
        <is>
          <t>Mobile App</t>
        </is>
      </c>
    </row>
    <row r="380" ht="19" customHeight="1">
      <c r="A380" s="20" t="inlineStr">
        <is>
          <t>ORD-2025159</t>
        </is>
      </c>
      <c r="B380" s="20" t="inlineStr">
        <is>
          <t>2026-04-24</t>
        </is>
      </c>
      <c r="C380" s="20" t="inlineStr">
        <is>
          <t>PD-004-L</t>
        </is>
      </c>
      <c r="D380" s="20" t="inlineStr">
        <is>
          <t>PD-004</t>
        </is>
      </c>
      <c r="E380" s="9" t="inlineStr">
        <is>
          <t>Rosé Off-Shoulder Mini</t>
        </is>
      </c>
      <c r="F380" s="9" t="inlineStr">
        <is>
          <t>Dresses</t>
        </is>
      </c>
      <c r="G380" s="20" t="inlineStr">
        <is>
          <t>L</t>
        </is>
      </c>
      <c r="H380" s="10" t="n">
        <v>2</v>
      </c>
      <c r="I380" s="11" t="n">
        <v>4900</v>
      </c>
      <c r="J380" s="11">
        <f>H380*I380</f>
        <v/>
      </c>
      <c r="K380" s="11" t="n">
        <v>1800</v>
      </c>
      <c r="L380" s="11">
        <f>H380*K380</f>
        <v/>
      </c>
      <c r="M380" s="11">
        <f>J380-L380</f>
        <v/>
      </c>
      <c r="N380" s="20" t="inlineStr">
        <is>
          <t>WH-DEL-03</t>
        </is>
      </c>
      <c r="O380" s="20" t="inlineStr">
        <is>
          <t>Retail Store</t>
        </is>
      </c>
    </row>
    <row r="381" ht="19" customHeight="1">
      <c r="A381" s="21" t="inlineStr">
        <is>
          <t>ORD-2025384</t>
        </is>
      </c>
      <c r="B381" s="21" t="inlineStr">
        <is>
          <t>2026-04-24</t>
        </is>
      </c>
      <c r="C381" s="21" t="inlineStr">
        <is>
          <t>PD-001-S</t>
        </is>
      </c>
      <c r="D381" s="21" t="inlineStr">
        <is>
          <t>PD-001</t>
        </is>
      </c>
      <c r="E381" s="12" t="inlineStr">
        <is>
          <t>Cabernet Velvet Gown</t>
        </is>
      </c>
      <c r="F381" s="12" t="inlineStr">
        <is>
          <t>Dresses</t>
        </is>
      </c>
      <c r="G381" s="21" t="inlineStr">
        <is>
          <t>S</t>
        </is>
      </c>
      <c r="H381" s="13" t="n">
        <v>4</v>
      </c>
      <c r="I381" s="14" t="n">
        <v>8500</v>
      </c>
      <c r="J381" s="14">
        <f>H381*I381</f>
        <v/>
      </c>
      <c r="K381" s="14" t="n">
        <v>3200</v>
      </c>
      <c r="L381" s="14">
        <f>H381*K381</f>
        <v/>
      </c>
      <c r="M381" s="14">
        <f>J381-L381</f>
        <v/>
      </c>
      <c r="N381" s="21" t="inlineStr">
        <is>
          <t>WH-BLR-02</t>
        </is>
      </c>
      <c r="O381" s="21" t="inlineStr">
        <is>
          <t>Online Store</t>
        </is>
      </c>
    </row>
    <row r="382" ht="19" customHeight="1">
      <c r="A382" s="20" t="inlineStr">
        <is>
          <t>ORD-2025036</t>
        </is>
      </c>
      <c r="B382" s="20" t="inlineStr">
        <is>
          <t>2026-04-25</t>
        </is>
      </c>
      <c r="C382" s="20" t="inlineStr">
        <is>
          <t>PD-009-M</t>
        </is>
      </c>
      <c r="D382" s="20" t="inlineStr">
        <is>
          <t>PD-009</t>
        </is>
      </c>
      <c r="E382" s="9" t="inlineStr">
        <is>
          <t>Syrah Pleated Maxi Skirt</t>
        </is>
      </c>
      <c r="F382" s="9" t="inlineStr">
        <is>
          <t>Skirts</t>
        </is>
      </c>
      <c r="G382" s="20" t="inlineStr">
        <is>
          <t>M</t>
        </is>
      </c>
      <c r="H382" s="10" t="n">
        <v>4</v>
      </c>
      <c r="I382" s="11" t="n">
        <v>5400</v>
      </c>
      <c r="J382" s="11">
        <f>H382*I382</f>
        <v/>
      </c>
      <c r="K382" s="11" t="n">
        <v>1900</v>
      </c>
      <c r="L382" s="11">
        <f>H382*K382</f>
        <v/>
      </c>
      <c r="M382" s="11">
        <f>J382-L382</f>
        <v/>
      </c>
      <c r="N382" s="20" t="inlineStr">
        <is>
          <t>WH-HYD-01</t>
        </is>
      </c>
      <c r="O382" s="20" t="inlineStr">
        <is>
          <t>Online Store</t>
        </is>
      </c>
    </row>
    <row r="383" ht="19" customHeight="1">
      <c r="A383" s="21" t="inlineStr">
        <is>
          <t>ORD-2025098</t>
        </is>
      </c>
      <c r="B383" s="21" t="inlineStr">
        <is>
          <t>2026-04-26</t>
        </is>
      </c>
      <c r="C383" s="21" t="inlineStr">
        <is>
          <t>PD-004-XS</t>
        </is>
      </c>
      <c r="D383" s="21" t="inlineStr">
        <is>
          <t>PD-004</t>
        </is>
      </c>
      <c r="E383" s="12" t="inlineStr">
        <is>
          <t>Rosé Off-Shoulder Mini</t>
        </is>
      </c>
      <c r="F383" s="12" t="inlineStr">
        <is>
          <t>Dresses</t>
        </is>
      </c>
      <c r="G383" s="21" t="inlineStr">
        <is>
          <t>XS</t>
        </is>
      </c>
      <c r="H383" s="13" t="n">
        <v>1</v>
      </c>
      <c r="I383" s="14" t="n">
        <v>4900</v>
      </c>
      <c r="J383" s="14">
        <f>H383*I383</f>
        <v/>
      </c>
      <c r="K383" s="14" t="n">
        <v>1800</v>
      </c>
      <c r="L383" s="14">
        <f>H383*K383</f>
        <v/>
      </c>
      <c r="M383" s="14">
        <f>J383-L383</f>
        <v/>
      </c>
      <c r="N383" s="21" t="inlineStr">
        <is>
          <t>WH-BLR-02</t>
        </is>
      </c>
      <c r="O383" s="21" t="inlineStr">
        <is>
          <t>Online Store</t>
        </is>
      </c>
    </row>
    <row r="384" ht="19" customHeight="1">
      <c r="A384" s="20" t="inlineStr">
        <is>
          <t>ORD-2025288</t>
        </is>
      </c>
      <c r="B384" s="20" t="inlineStr">
        <is>
          <t>2026-04-28</t>
        </is>
      </c>
      <c r="C384" s="20" t="inlineStr">
        <is>
          <t>PD-008-XS</t>
        </is>
      </c>
      <c r="D384" s="20" t="inlineStr">
        <is>
          <t>PD-008</t>
        </is>
      </c>
      <c r="E384" s="9" t="inlineStr">
        <is>
          <t>Tuscan Sun Silk Skirt</t>
        </is>
      </c>
      <c r="F384" s="9" t="inlineStr">
        <is>
          <t>Skirts</t>
        </is>
      </c>
      <c r="G384" s="20" t="inlineStr">
        <is>
          <t>XS</t>
        </is>
      </c>
      <c r="H384" s="10" t="n">
        <v>3</v>
      </c>
      <c r="I384" s="11" t="n">
        <v>4500</v>
      </c>
      <c r="J384" s="11">
        <f>H384*I384</f>
        <v/>
      </c>
      <c r="K384" s="11" t="n">
        <v>1600</v>
      </c>
      <c r="L384" s="11">
        <f>H384*K384</f>
        <v/>
      </c>
      <c r="M384" s="11">
        <f>J384-L384</f>
        <v/>
      </c>
      <c r="N384" s="20" t="inlineStr">
        <is>
          <t>WH-DEL-03</t>
        </is>
      </c>
      <c r="O384" s="20" t="inlineStr">
        <is>
          <t>Online Store</t>
        </is>
      </c>
    </row>
    <row r="385" ht="19" customHeight="1">
      <c r="A385" s="21" t="inlineStr">
        <is>
          <t>ORD-2025481</t>
        </is>
      </c>
      <c r="B385" s="21" t="inlineStr">
        <is>
          <t>2026-04-28</t>
        </is>
      </c>
      <c r="C385" s="21" t="inlineStr">
        <is>
          <t>PD-005-XS</t>
        </is>
      </c>
      <c r="D385" s="21" t="inlineStr">
        <is>
          <t>PD-005</t>
        </is>
      </c>
      <c r="E385" s="12" t="inlineStr">
        <is>
          <t>Shiraz Wrap Evening Dress</t>
        </is>
      </c>
      <c r="F385" s="12" t="inlineStr">
        <is>
          <t>Dresses</t>
        </is>
      </c>
      <c r="G385" s="21" t="inlineStr">
        <is>
          <t>XS</t>
        </is>
      </c>
      <c r="H385" s="13" t="n">
        <v>4</v>
      </c>
      <c r="I385" s="14" t="n">
        <v>9200</v>
      </c>
      <c r="J385" s="14">
        <f>H385*I385</f>
        <v/>
      </c>
      <c r="K385" s="14" t="n">
        <v>3500</v>
      </c>
      <c r="L385" s="14">
        <f>H385*K385</f>
        <v/>
      </c>
      <c r="M385" s="14">
        <f>J385-L385</f>
        <v/>
      </c>
      <c r="N385" s="21" t="inlineStr">
        <is>
          <t>WH-DEL-03</t>
        </is>
      </c>
      <c r="O385" s="21" t="inlineStr">
        <is>
          <t>Retail Store</t>
        </is>
      </c>
    </row>
    <row r="386" ht="19" customHeight="1">
      <c r="A386" s="20" t="inlineStr">
        <is>
          <t>ORD-2025044</t>
        </is>
      </c>
      <c r="B386" s="20" t="inlineStr">
        <is>
          <t>2026-04-30</t>
        </is>
      </c>
      <c r="C386" s="20" t="inlineStr">
        <is>
          <t>PD-007-L</t>
        </is>
      </c>
      <c r="D386" s="20" t="inlineStr">
        <is>
          <t>PD-007</t>
        </is>
      </c>
      <c r="E386" s="9" t="inlineStr">
        <is>
          <t>Burgundy Trench Coat</t>
        </is>
      </c>
      <c r="F386" s="9" t="inlineStr">
        <is>
          <t>Outerwear</t>
        </is>
      </c>
      <c r="G386" s="20" t="inlineStr">
        <is>
          <t>L</t>
        </is>
      </c>
      <c r="H386" s="10" t="n">
        <v>3</v>
      </c>
      <c r="I386" s="11" t="n">
        <v>12500</v>
      </c>
      <c r="J386" s="11">
        <f>H386*I386</f>
        <v/>
      </c>
      <c r="K386" s="11" t="n">
        <v>4800</v>
      </c>
      <c r="L386" s="11">
        <f>H386*K386</f>
        <v/>
      </c>
      <c r="M386" s="11">
        <f>J386-L386</f>
        <v/>
      </c>
      <c r="N386" s="20" t="inlineStr">
        <is>
          <t>WH-BLR-02</t>
        </is>
      </c>
      <c r="O386" s="20" t="inlineStr">
        <is>
          <t>Online Store</t>
        </is>
      </c>
    </row>
    <row r="387" ht="19" customHeight="1">
      <c r="A387" s="21" t="inlineStr">
        <is>
          <t>ORD-2025409</t>
        </is>
      </c>
      <c r="B387" s="21" t="inlineStr">
        <is>
          <t>2026-05-01</t>
        </is>
      </c>
      <c r="C387" s="21" t="inlineStr">
        <is>
          <t>PD-001-M</t>
        </is>
      </c>
      <c r="D387" s="21" t="inlineStr">
        <is>
          <t>PD-001</t>
        </is>
      </c>
      <c r="E387" s="12" t="inlineStr">
        <is>
          <t>Cabernet Velvet Gown</t>
        </is>
      </c>
      <c r="F387" s="12" t="inlineStr">
        <is>
          <t>Dresses</t>
        </is>
      </c>
      <c r="G387" s="21" t="inlineStr">
        <is>
          <t>M</t>
        </is>
      </c>
      <c r="H387" s="13" t="n">
        <v>5</v>
      </c>
      <c r="I387" s="14" t="n">
        <v>8500</v>
      </c>
      <c r="J387" s="14">
        <f>H387*I387</f>
        <v/>
      </c>
      <c r="K387" s="14" t="n">
        <v>3200</v>
      </c>
      <c r="L387" s="14">
        <f>H387*K387</f>
        <v/>
      </c>
      <c r="M387" s="14">
        <f>J387-L387</f>
        <v/>
      </c>
      <c r="N387" s="21" t="inlineStr">
        <is>
          <t>WH-HYD-01</t>
        </is>
      </c>
      <c r="O387" s="21" t="inlineStr">
        <is>
          <t>Mobile App</t>
        </is>
      </c>
    </row>
    <row r="388" ht="19" customHeight="1">
      <c r="A388" s="20" t="inlineStr">
        <is>
          <t>ORD-2025042</t>
        </is>
      </c>
      <c r="B388" s="20" t="inlineStr">
        <is>
          <t>2026-05-02</t>
        </is>
      </c>
      <c r="C388" s="20" t="inlineStr">
        <is>
          <t>PD-004-XS</t>
        </is>
      </c>
      <c r="D388" s="20" t="inlineStr">
        <is>
          <t>PD-004</t>
        </is>
      </c>
      <c r="E388" s="9" t="inlineStr">
        <is>
          <t>Rosé Off-Shoulder Mini</t>
        </is>
      </c>
      <c r="F388" s="9" t="inlineStr">
        <is>
          <t>Dresses</t>
        </is>
      </c>
      <c r="G388" s="20" t="inlineStr">
        <is>
          <t>XS</t>
        </is>
      </c>
      <c r="H388" s="10" t="n">
        <v>5</v>
      </c>
      <c r="I388" s="11" t="n">
        <v>4900</v>
      </c>
      <c r="J388" s="11">
        <f>H388*I388</f>
        <v/>
      </c>
      <c r="K388" s="11" t="n">
        <v>1800</v>
      </c>
      <c r="L388" s="11">
        <f>H388*K388</f>
        <v/>
      </c>
      <c r="M388" s="11">
        <f>J388-L388</f>
        <v/>
      </c>
      <c r="N388" s="20" t="inlineStr">
        <is>
          <t>WH-DEL-03</t>
        </is>
      </c>
      <c r="O388" s="20" t="inlineStr">
        <is>
          <t>Online Store</t>
        </is>
      </c>
    </row>
    <row r="389" ht="19" customHeight="1">
      <c r="A389" s="21" t="inlineStr">
        <is>
          <t>ORD-2025458</t>
        </is>
      </c>
      <c r="B389" s="21" t="inlineStr">
        <is>
          <t>2026-05-02</t>
        </is>
      </c>
      <c r="C389" s="21" t="inlineStr">
        <is>
          <t>PD-008-XS</t>
        </is>
      </c>
      <c r="D389" s="21" t="inlineStr">
        <is>
          <t>PD-008</t>
        </is>
      </c>
      <c r="E389" s="12" t="inlineStr">
        <is>
          <t>Tuscan Sun Silk Skirt</t>
        </is>
      </c>
      <c r="F389" s="12" t="inlineStr">
        <is>
          <t>Skirts</t>
        </is>
      </c>
      <c r="G389" s="21" t="inlineStr">
        <is>
          <t>XS</t>
        </is>
      </c>
      <c r="H389" s="13" t="n">
        <v>2</v>
      </c>
      <c r="I389" s="14" t="n">
        <v>4500</v>
      </c>
      <c r="J389" s="14">
        <f>H389*I389</f>
        <v/>
      </c>
      <c r="K389" s="14" t="n">
        <v>1600</v>
      </c>
      <c r="L389" s="14">
        <f>H389*K389</f>
        <v/>
      </c>
      <c r="M389" s="14">
        <f>J389-L389</f>
        <v/>
      </c>
      <c r="N389" s="21" t="inlineStr">
        <is>
          <t>WH-BLR-02</t>
        </is>
      </c>
      <c r="O389" s="21" t="inlineStr">
        <is>
          <t>Mobile App</t>
        </is>
      </c>
    </row>
    <row r="390" ht="19" customHeight="1">
      <c r="A390" s="20" t="inlineStr">
        <is>
          <t>ORD-2025024</t>
        </is>
      </c>
      <c r="B390" s="20" t="inlineStr">
        <is>
          <t>2026-05-03</t>
        </is>
      </c>
      <c r="C390" s="20" t="inlineStr">
        <is>
          <t>PD-008-S</t>
        </is>
      </c>
      <c r="D390" s="20" t="inlineStr">
        <is>
          <t>PD-008</t>
        </is>
      </c>
      <c r="E390" s="9" t="inlineStr">
        <is>
          <t>Tuscan Sun Silk Skirt</t>
        </is>
      </c>
      <c r="F390" s="9" t="inlineStr">
        <is>
          <t>Skirts</t>
        </is>
      </c>
      <c r="G390" s="20" t="inlineStr">
        <is>
          <t>S</t>
        </is>
      </c>
      <c r="H390" s="10" t="n">
        <v>4</v>
      </c>
      <c r="I390" s="11" t="n">
        <v>4500</v>
      </c>
      <c r="J390" s="11">
        <f>H390*I390</f>
        <v/>
      </c>
      <c r="K390" s="11" t="n">
        <v>1600</v>
      </c>
      <c r="L390" s="11">
        <f>H390*K390</f>
        <v/>
      </c>
      <c r="M390" s="11">
        <f>J390-L390</f>
        <v/>
      </c>
      <c r="N390" s="20" t="inlineStr">
        <is>
          <t>WH-HYD-01</t>
        </is>
      </c>
      <c r="O390" s="20" t="inlineStr">
        <is>
          <t>Retail Store</t>
        </is>
      </c>
    </row>
    <row r="391" ht="19" customHeight="1">
      <c r="A391" s="21" t="inlineStr">
        <is>
          <t>ORD-2025317</t>
        </is>
      </c>
      <c r="B391" s="21" t="inlineStr">
        <is>
          <t>2026-05-04</t>
        </is>
      </c>
      <c r="C391" s="21" t="inlineStr">
        <is>
          <t>PD-006-XS</t>
        </is>
      </c>
      <c r="D391" s="21" t="inlineStr">
        <is>
          <t>PD-006</t>
        </is>
      </c>
      <c r="E391" s="12" t="inlineStr">
        <is>
          <t>Chiffon Crimson Blouse</t>
        </is>
      </c>
      <c r="F391" s="12" t="inlineStr">
        <is>
          <t>Tops</t>
        </is>
      </c>
      <c r="G391" s="21" t="inlineStr">
        <is>
          <t>XS</t>
        </is>
      </c>
      <c r="H391" s="13" t="n">
        <v>4</v>
      </c>
      <c r="I391" s="14" t="n">
        <v>3200</v>
      </c>
      <c r="J391" s="14">
        <f>H391*I391</f>
        <v/>
      </c>
      <c r="K391" s="14" t="n">
        <v>1100</v>
      </c>
      <c r="L391" s="14">
        <f>H391*K391</f>
        <v/>
      </c>
      <c r="M391" s="14">
        <f>J391-L391</f>
        <v/>
      </c>
      <c r="N391" s="21" t="inlineStr">
        <is>
          <t>WH-BLR-02</t>
        </is>
      </c>
      <c r="O391" s="21" t="inlineStr">
        <is>
          <t>Online Store</t>
        </is>
      </c>
    </row>
    <row r="392" ht="19" customHeight="1">
      <c r="A392" s="20" t="inlineStr">
        <is>
          <t>ORD-2025411</t>
        </is>
      </c>
      <c r="B392" s="20" t="inlineStr">
        <is>
          <t>2026-05-04</t>
        </is>
      </c>
      <c r="C392" s="20" t="inlineStr">
        <is>
          <t>PD-002-L</t>
        </is>
      </c>
      <c r="D392" s="20" t="inlineStr">
        <is>
          <t>PD-002</t>
        </is>
      </c>
      <c r="E392" s="9" t="inlineStr">
        <is>
          <t>Merlot Satin Slip Dress</t>
        </is>
      </c>
      <c r="F392" s="9" t="inlineStr">
        <is>
          <t>Dresses</t>
        </is>
      </c>
      <c r="G392" s="20" t="inlineStr">
        <is>
          <t>L</t>
        </is>
      </c>
      <c r="H392" s="10" t="n">
        <v>5</v>
      </c>
      <c r="I392" s="11" t="n">
        <v>6200</v>
      </c>
      <c r="J392" s="11">
        <f>H392*I392</f>
        <v/>
      </c>
      <c r="K392" s="11" t="n">
        <v>2100</v>
      </c>
      <c r="L392" s="11">
        <f>H392*K392</f>
        <v/>
      </c>
      <c r="M392" s="11">
        <f>J392-L392</f>
        <v/>
      </c>
      <c r="N392" s="20" t="inlineStr">
        <is>
          <t>WH-BLR-02</t>
        </is>
      </c>
      <c r="O392" s="20" t="inlineStr">
        <is>
          <t>Retail Store</t>
        </is>
      </c>
    </row>
    <row r="393" ht="19" customHeight="1">
      <c r="A393" s="21" t="inlineStr">
        <is>
          <t>ORD-2025488</t>
        </is>
      </c>
      <c r="B393" s="21" t="inlineStr">
        <is>
          <t>2026-05-04</t>
        </is>
      </c>
      <c r="C393" s="21" t="inlineStr">
        <is>
          <t>PD-009-L</t>
        </is>
      </c>
      <c r="D393" s="21" t="inlineStr">
        <is>
          <t>PD-009</t>
        </is>
      </c>
      <c r="E393" s="12" t="inlineStr">
        <is>
          <t>Syrah Pleated Maxi Skirt</t>
        </is>
      </c>
      <c r="F393" s="12" t="inlineStr">
        <is>
          <t>Skirts</t>
        </is>
      </c>
      <c r="G393" s="21" t="inlineStr">
        <is>
          <t>L</t>
        </is>
      </c>
      <c r="H393" s="13" t="n">
        <v>5</v>
      </c>
      <c r="I393" s="14" t="n">
        <v>5400</v>
      </c>
      <c r="J393" s="14">
        <f>H393*I393</f>
        <v/>
      </c>
      <c r="K393" s="14" t="n">
        <v>1900</v>
      </c>
      <c r="L393" s="14">
        <f>H393*K393</f>
        <v/>
      </c>
      <c r="M393" s="14">
        <f>J393-L393</f>
        <v/>
      </c>
      <c r="N393" s="21" t="inlineStr">
        <is>
          <t>WH-BLR-02</t>
        </is>
      </c>
      <c r="O393" s="21" t="inlineStr">
        <is>
          <t>Retail Store</t>
        </is>
      </c>
    </row>
    <row r="394" ht="19" customHeight="1">
      <c r="A394" s="20" t="inlineStr">
        <is>
          <t>ORD-2025111</t>
        </is>
      </c>
      <c r="B394" s="20" t="inlineStr">
        <is>
          <t>2026-05-05</t>
        </is>
      </c>
      <c r="C394" s="20" t="inlineStr">
        <is>
          <t>PD-005-XL</t>
        </is>
      </c>
      <c r="D394" s="20" t="inlineStr">
        <is>
          <t>PD-005</t>
        </is>
      </c>
      <c r="E394" s="9" t="inlineStr">
        <is>
          <t>Shiraz Wrap Evening Dress</t>
        </is>
      </c>
      <c r="F394" s="9" t="inlineStr">
        <is>
          <t>Dresses</t>
        </is>
      </c>
      <c r="G394" s="20" t="inlineStr">
        <is>
          <t>XL</t>
        </is>
      </c>
      <c r="H394" s="10" t="n">
        <v>4</v>
      </c>
      <c r="I394" s="11" t="n">
        <v>9200</v>
      </c>
      <c r="J394" s="11">
        <f>H394*I394</f>
        <v/>
      </c>
      <c r="K394" s="11" t="n">
        <v>3500</v>
      </c>
      <c r="L394" s="11">
        <f>H394*K394</f>
        <v/>
      </c>
      <c r="M394" s="11">
        <f>J394-L394</f>
        <v/>
      </c>
      <c r="N394" s="20" t="inlineStr">
        <is>
          <t>WH-HYD-01</t>
        </is>
      </c>
      <c r="O394" s="20" t="inlineStr">
        <is>
          <t>Retail Store</t>
        </is>
      </c>
    </row>
    <row r="395" ht="19" customHeight="1">
      <c r="A395" s="21" t="inlineStr">
        <is>
          <t>ORD-2025234</t>
        </is>
      </c>
      <c r="B395" s="21" t="inlineStr">
        <is>
          <t>2026-05-05</t>
        </is>
      </c>
      <c r="C395" s="21" t="inlineStr">
        <is>
          <t>PD-004-L</t>
        </is>
      </c>
      <c r="D395" s="21" t="inlineStr">
        <is>
          <t>PD-004</t>
        </is>
      </c>
      <c r="E395" s="12" t="inlineStr">
        <is>
          <t>Rosé Off-Shoulder Mini</t>
        </is>
      </c>
      <c r="F395" s="12" t="inlineStr">
        <is>
          <t>Dresses</t>
        </is>
      </c>
      <c r="G395" s="21" t="inlineStr">
        <is>
          <t>L</t>
        </is>
      </c>
      <c r="H395" s="13" t="n">
        <v>3</v>
      </c>
      <c r="I395" s="14" t="n">
        <v>4900</v>
      </c>
      <c r="J395" s="14">
        <f>H395*I395</f>
        <v/>
      </c>
      <c r="K395" s="14" t="n">
        <v>1800</v>
      </c>
      <c r="L395" s="14">
        <f>H395*K395</f>
        <v/>
      </c>
      <c r="M395" s="14">
        <f>J395-L395</f>
        <v/>
      </c>
      <c r="N395" s="21" t="inlineStr">
        <is>
          <t>WH-HYD-01</t>
        </is>
      </c>
      <c r="O395" s="21" t="inlineStr">
        <is>
          <t>Mobile App</t>
        </is>
      </c>
    </row>
    <row r="396" ht="19" customHeight="1">
      <c r="A396" s="20" t="inlineStr">
        <is>
          <t>ORD-2025380</t>
        </is>
      </c>
      <c r="B396" s="20" t="inlineStr">
        <is>
          <t>2026-05-05</t>
        </is>
      </c>
      <c r="C396" s="20" t="inlineStr">
        <is>
          <t>PD-004-XS</t>
        </is>
      </c>
      <c r="D396" s="20" t="inlineStr">
        <is>
          <t>PD-004</t>
        </is>
      </c>
      <c r="E396" s="9" t="inlineStr">
        <is>
          <t>Rosé Off-Shoulder Mini</t>
        </is>
      </c>
      <c r="F396" s="9" t="inlineStr">
        <is>
          <t>Dresses</t>
        </is>
      </c>
      <c r="G396" s="20" t="inlineStr">
        <is>
          <t>XS</t>
        </is>
      </c>
      <c r="H396" s="10" t="n">
        <v>2</v>
      </c>
      <c r="I396" s="11" t="n">
        <v>4900</v>
      </c>
      <c r="J396" s="11">
        <f>H396*I396</f>
        <v/>
      </c>
      <c r="K396" s="11" t="n">
        <v>1800</v>
      </c>
      <c r="L396" s="11">
        <f>H396*K396</f>
        <v/>
      </c>
      <c r="M396" s="11">
        <f>J396-L396</f>
        <v/>
      </c>
      <c r="N396" s="20" t="inlineStr">
        <is>
          <t>WH-BLR-02</t>
        </is>
      </c>
      <c r="O396" s="20" t="inlineStr">
        <is>
          <t>Retail Store</t>
        </is>
      </c>
    </row>
    <row r="397" ht="19" customHeight="1">
      <c r="A397" s="21" t="inlineStr">
        <is>
          <t>ORD-2025291</t>
        </is>
      </c>
      <c r="B397" s="21" t="inlineStr">
        <is>
          <t>2026-05-06</t>
        </is>
      </c>
      <c r="C397" s="21" t="inlineStr">
        <is>
          <t>PD-007-M</t>
        </is>
      </c>
      <c r="D397" s="21" t="inlineStr">
        <is>
          <t>PD-007</t>
        </is>
      </c>
      <c r="E397" s="12" t="inlineStr">
        <is>
          <t>Burgundy Trench Coat</t>
        </is>
      </c>
      <c r="F397" s="12" t="inlineStr">
        <is>
          <t>Outerwear</t>
        </is>
      </c>
      <c r="G397" s="21" t="inlineStr">
        <is>
          <t>M</t>
        </is>
      </c>
      <c r="H397" s="13" t="n">
        <v>2</v>
      </c>
      <c r="I397" s="14" t="n">
        <v>12500</v>
      </c>
      <c r="J397" s="14">
        <f>H397*I397</f>
        <v/>
      </c>
      <c r="K397" s="14" t="n">
        <v>4800</v>
      </c>
      <c r="L397" s="14">
        <f>H397*K397</f>
        <v/>
      </c>
      <c r="M397" s="14">
        <f>J397-L397</f>
        <v/>
      </c>
      <c r="N397" s="21" t="inlineStr">
        <is>
          <t>WH-HYD-01</t>
        </is>
      </c>
      <c r="O397" s="21" t="inlineStr">
        <is>
          <t>Mobile App</t>
        </is>
      </c>
    </row>
    <row r="398" ht="19" customHeight="1">
      <c r="A398" s="20" t="inlineStr">
        <is>
          <t>ORD-2025062</t>
        </is>
      </c>
      <c r="B398" s="20" t="inlineStr">
        <is>
          <t>2026-05-09</t>
        </is>
      </c>
      <c r="C398" s="20" t="inlineStr">
        <is>
          <t>PD-008-XS</t>
        </is>
      </c>
      <c r="D398" s="20" t="inlineStr">
        <is>
          <t>PD-008</t>
        </is>
      </c>
      <c r="E398" s="9" t="inlineStr">
        <is>
          <t>Tuscan Sun Silk Skirt</t>
        </is>
      </c>
      <c r="F398" s="9" t="inlineStr">
        <is>
          <t>Skirts</t>
        </is>
      </c>
      <c r="G398" s="20" t="inlineStr">
        <is>
          <t>XS</t>
        </is>
      </c>
      <c r="H398" s="10" t="n">
        <v>2</v>
      </c>
      <c r="I398" s="11" t="n">
        <v>4500</v>
      </c>
      <c r="J398" s="11">
        <f>H398*I398</f>
        <v/>
      </c>
      <c r="K398" s="11" t="n">
        <v>1600</v>
      </c>
      <c r="L398" s="11">
        <f>H398*K398</f>
        <v/>
      </c>
      <c r="M398" s="11">
        <f>J398-L398</f>
        <v/>
      </c>
      <c r="N398" s="20" t="inlineStr">
        <is>
          <t>WH-BLR-02</t>
        </is>
      </c>
      <c r="O398" s="20" t="inlineStr">
        <is>
          <t>Online Store</t>
        </is>
      </c>
    </row>
    <row r="399" ht="19" customHeight="1">
      <c r="A399" s="21" t="inlineStr">
        <is>
          <t>ORD-2025346</t>
        </is>
      </c>
      <c r="B399" s="21" t="inlineStr">
        <is>
          <t>2026-05-09</t>
        </is>
      </c>
      <c r="C399" s="21" t="inlineStr">
        <is>
          <t>PD-009-M</t>
        </is>
      </c>
      <c r="D399" s="21" t="inlineStr">
        <is>
          <t>PD-009</t>
        </is>
      </c>
      <c r="E399" s="12" t="inlineStr">
        <is>
          <t>Syrah Pleated Maxi Skirt</t>
        </is>
      </c>
      <c r="F399" s="12" t="inlineStr">
        <is>
          <t>Skirts</t>
        </is>
      </c>
      <c r="G399" s="21" t="inlineStr">
        <is>
          <t>M</t>
        </is>
      </c>
      <c r="H399" s="13" t="n">
        <v>2</v>
      </c>
      <c r="I399" s="14" t="n">
        <v>5400</v>
      </c>
      <c r="J399" s="14">
        <f>H399*I399</f>
        <v/>
      </c>
      <c r="K399" s="14" t="n">
        <v>1900</v>
      </c>
      <c r="L399" s="14">
        <f>H399*K399</f>
        <v/>
      </c>
      <c r="M399" s="14">
        <f>J399-L399</f>
        <v/>
      </c>
      <c r="N399" s="21" t="inlineStr">
        <is>
          <t>WH-BLR-02</t>
        </is>
      </c>
      <c r="O399" s="21" t="inlineStr">
        <is>
          <t>Retail Store</t>
        </is>
      </c>
    </row>
    <row r="400" ht="19" customHeight="1">
      <c r="A400" s="20" t="inlineStr">
        <is>
          <t>ORD-2025039</t>
        </is>
      </c>
      <c r="B400" s="20" t="inlineStr">
        <is>
          <t>2026-05-10</t>
        </is>
      </c>
      <c r="C400" s="20" t="inlineStr">
        <is>
          <t>PD-007-XS</t>
        </is>
      </c>
      <c r="D400" s="20" t="inlineStr">
        <is>
          <t>PD-007</t>
        </is>
      </c>
      <c r="E400" s="9" t="inlineStr">
        <is>
          <t>Burgundy Trench Coat</t>
        </is>
      </c>
      <c r="F400" s="9" t="inlineStr">
        <is>
          <t>Outerwear</t>
        </is>
      </c>
      <c r="G400" s="20" t="inlineStr">
        <is>
          <t>XS</t>
        </is>
      </c>
      <c r="H400" s="10" t="n">
        <v>5</v>
      </c>
      <c r="I400" s="11" t="n">
        <v>12500</v>
      </c>
      <c r="J400" s="11">
        <f>H400*I400</f>
        <v/>
      </c>
      <c r="K400" s="11" t="n">
        <v>4800</v>
      </c>
      <c r="L400" s="11">
        <f>H400*K400</f>
        <v/>
      </c>
      <c r="M400" s="11">
        <f>J400-L400</f>
        <v/>
      </c>
      <c r="N400" s="20" t="inlineStr">
        <is>
          <t>WH-DEL-03</t>
        </is>
      </c>
      <c r="O400" s="20" t="inlineStr">
        <is>
          <t>Online Store</t>
        </is>
      </c>
    </row>
    <row r="401" ht="19" customHeight="1">
      <c r="A401" s="21" t="inlineStr">
        <is>
          <t>ORD-2025184</t>
        </is>
      </c>
      <c r="B401" s="21" t="inlineStr">
        <is>
          <t>2026-05-11</t>
        </is>
      </c>
      <c r="C401" s="21" t="inlineStr">
        <is>
          <t>PD-001-S</t>
        </is>
      </c>
      <c r="D401" s="21" t="inlineStr">
        <is>
          <t>PD-001</t>
        </is>
      </c>
      <c r="E401" s="12" t="inlineStr">
        <is>
          <t>Cabernet Velvet Gown</t>
        </is>
      </c>
      <c r="F401" s="12" t="inlineStr">
        <is>
          <t>Dresses</t>
        </is>
      </c>
      <c r="G401" s="21" t="inlineStr">
        <is>
          <t>S</t>
        </is>
      </c>
      <c r="H401" s="13" t="n">
        <v>3</v>
      </c>
      <c r="I401" s="14" t="n">
        <v>8500</v>
      </c>
      <c r="J401" s="14">
        <f>H401*I401</f>
        <v/>
      </c>
      <c r="K401" s="14" t="n">
        <v>3200</v>
      </c>
      <c r="L401" s="14">
        <f>H401*K401</f>
        <v/>
      </c>
      <c r="M401" s="14">
        <f>J401-L401</f>
        <v/>
      </c>
      <c r="N401" s="21" t="inlineStr">
        <is>
          <t>WH-DEL-03</t>
        </is>
      </c>
      <c r="O401" s="21" t="inlineStr">
        <is>
          <t>Online Store</t>
        </is>
      </c>
    </row>
    <row r="402" ht="19" customHeight="1">
      <c r="A402" s="20" t="inlineStr">
        <is>
          <t>ORD-2025020</t>
        </is>
      </c>
      <c r="B402" s="20" t="inlineStr">
        <is>
          <t>2026-05-12</t>
        </is>
      </c>
      <c r="C402" s="20" t="inlineStr">
        <is>
          <t>PD-003-XL</t>
        </is>
      </c>
      <c r="D402" s="20" t="inlineStr">
        <is>
          <t>PD-003</t>
        </is>
      </c>
      <c r="E402" s="9" t="inlineStr">
        <is>
          <t>Bordeaux Lace Midi</t>
        </is>
      </c>
      <c r="F402" s="9" t="inlineStr">
        <is>
          <t>Dresses</t>
        </is>
      </c>
      <c r="G402" s="20" t="inlineStr">
        <is>
          <t>XL</t>
        </is>
      </c>
      <c r="H402" s="10" t="n">
        <v>1</v>
      </c>
      <c r="I402" s="11" t="n">
        <v>7800</v>
      </c>
      <c r="J402" s="11">
        <f>H402*I402</f>
        <v/>
      </c>
      <c r="K402" s="11" t="n">
        <v>2800</v>
      </c>
      <c r="L402" s="11">
        <f>H402*K402</f>
        <v/>
      </c>
      <c r="M402" s="11">
        <f>J402-L402</f>
        <v/>
      </c>
      <c r="N402" s="20" t="inlineStr">
        <is>
          <t>WH-HYD-01</t>
        </is>
      </c>
      <c r="O402" s="20" t="inlineStr">
        <is>
          <t>Mobile App</t>
        </is>
      </c>
    </row>
    <row r="403" ht="19" customHeight="1">
      <c r="A403" s="21" t="inlineStr">
        <is>
          <t>ORD-2025139</t>
        </is>
      </c>
      <c r="B403" s="21" t="inlineStr">
        <is>
          <t>2026-05-14</t>
        </is>
      </c>
      <c r="C403" s="21" t="inlineStr">
        <is>
          <t>PD-004-M</t>
        </is>
      </c>
      <c r="D403" s="21" t="inlineStr">
        <is>
          <t>PD-004</t>
        </is>
      </c>
      <c r="E403" s="12" t="inlineStr">
        <is>
          <t>Rosé Off-Shoulder Mini</t>
        </is>
      </c>
      <c r="F403" s="12" t="inlineStr">
        <is>
          <t>Dresses</t>
        </is>
      </c>
      <c r="G403" s="21" t="inlineStr">
        <is>
          <t>M</t>
        </is>
      </c>
      <c r="H403" s="13" t="n">
        <v>3</v>
      </c>
      <c r="I403" s="14" t="n">
        <v>4900</v>
      </c>
      <c r="J403" s="14">
        <f>H403*I403</f>
        <v/>
      </c>
      <c r="K403" s="14" t="n">
        <v>1800</v>
      </c>
      <c r="L403" s="14">
        <f>H403*K403</f>
        <v/>
      </c>
      <c r="M403" s="14">
        <f>J403-L403</f>
        <v/>
      </c>
      <c r="N403" s="21" t="inlineStr">
        <is>
          <t>WH-HYD-01</t>
        </is>
      </c>
      <c r="O403" s="21" t="inlineStr">
        <is>
          <t>Online Store</t>
        </is>
      </c>
    </row>
    <row r="404" ht="19" customHeight="1">
      <c r="A404" s="20" t="inlineStr">
        <is>
          <t>ORD-2025272</t>
        </is>
      </c>
      <c r="B404" s="20" t="inlineStr">
        <is>
          <t>2026-05-14</t>
        </is>
      </c>
      <c r="C404" s="20" t="inlineStr">
        <is>
          <t>PD-002-S</t>
        </is>
      </c>
      <c r="D404" s="20" t="inlineStr">
        <is>
          <t>PD-002</t>
        </is>
      </c>
      <c r="E404" s="9" t="inlineStr">
        <is>
          <t>Merlot Satin Slip Dress</t>
        </is>
      </c>
      <c r="F404" s="9" t="inlineStr">
        <is>
          <t>Dresses</t>
        </is>
      </c>
      <c r="G404" s="20" t="inlineStr">
        <is>
          <t>S</t>
        </is>
      </c>
      <c r="H404" s="10" t="n">
        <v>4</v>
      </c>
      <c r="I404" s="11" t="n">
        <v>6200</v>
      </c>
      <c r="J404" s="11">
        <f>H404*I404</f>
        <v/>
      </c>
      <c r="K404" s="11" t="n">
        <v>2100</v>
      </c>
      <c r="L404" s="11">
        <f>H404*K404</f>
        <v/>
      </c>
      <c r="M404" s="11">
        <f>J404-L404</f>
        <v/>
      </c>
      <c r="N404" s="20" t="inlineStr">
        <is>
          <t>WH-DEL-03</t>
        </is>
      </c>
      <c r="O404" s="20" t="inlineStr">
        <is>
          <t>Online Store</t>
        </is>
      </c>
    </row>
    <row r="405" ht="19" customHeight="1">
      <c r="A405" s="21" t="inlineStr">
        <is>
          <t>ORD-2025468</t>
        </is>
      </c>
      <c r="B405" s="21" t="inlineStr">
        <is>
          <t>2026-05-14</t>
        </is>
      </c>
      <c r="C405" s="21" t="inlineStr">
        <is>
          <t>PD-005-S</t>
        </is>
      </c>
      <c r="D405" s="21" t="inlineStr">
        <is>
          <t>PD-005</t>
        </is>
      </c>
      <c r="E405" s="12" t="inlineStr">
        <is>
          <t>Shiraz Wrap Evening Dress</t>
        </is>
      </c>
      <c r="F405" s="12" t="inlineStr">
        <is>
          <t>Dresses</t>
        </is>
      </c>
      <c r="G405" s="21" t="inlineStr">
        <is>
          <t>S</t>
        </is>
      </c>
      <c r="H405" s="13" t="n">
        <v>5</v>
      </c>
      <c r="I405" s="14" t="n">
        <v>9200</v>
      </c>
      <c r="J405" s="14">
        <f>H405*I405</f>
        <v/>
      </c>
      <c r="K405" s="14" t="n">
        <v>3500</v>
      </c>
      <c r="L405" s="14">
        <f>H405*K405</f>
        <v/>
      </c>
      <c r="M405" s="14">
        <f>J405-L405</f>
        <v/>
      </c>
      <c r="N405" s="21" t="inlineStr">
        <is>
          <t>WH-DEL-03</t>
        </is>
      </c>
      <c r="O405" s="21" t="inlineStr">
        <is>
          <t>Mobile App</t>
        </is>
      </c>
    </row>
    <row r="406" ht="19" customHeight="1">
      <c r="A406" s="20" t="inlineStr">
        <is>
          <t>ORD-2025041</t>
        </is>
      </c>
      <c r="B406" s="20" t="inlineStr">
        <is>
          <t>2026-05-15</t>
        </is>
      </c>
      <c r="C406" s="20" t="inlineStr">
        <is>
          <t>PD-001-XL</t>
        </is>
      </c>
      <c r="D406" s="20" t="inlineStr">
        <is>
          <t>PD-001</t>
        </is>
      </c>
      <c r="E406" s="9" t="inlineStr">
        <is>
          <t>Cabernet Velvet Gown</t>
        </is>
      </c>
      <c r="F406" s="9" t="inlineStr">
        <is>
          <t>Dresses</t>
        </is>
      </c>
      <c r="G406" s="20" t="inlineStr">
        <is>
          <t>XL</t>
        </is>
      </c>
      <c r="H406" s="10" t="n">
        <v>2</v>
      </c>
      <c r="I406" s="11" t="n">
        <v>8500</v>
      </c>
      <c r="J406" s="11">
        <f>H406*I406</f>
        <v/>
      </c>
      <c r="K406" s="11" t="n">
        <v>3200</v>
      </c>
      <c r="L406" s="11">
        <f>H406*K406</f>
        <v/>
      </c>
      <c r="M406" s="11">
        <f>J406-L406</f>
        <v/>
      </c>
      <c r="N406" s="20" t="inlineStr">
        <is>
          <t>WH-BLR-02</t>
        </is>
      </c>
      <c r="O406" s="20" t="inlineStr">
        <is>
          <t>Online Store</t>
        </is>
      </c>
    </row>
    <row r="407" ht="19" customHeight="1">
      <c r="A407" s="21" t="inlineStr">
        <is>
          <t>ORD-2025356</t>
        </is>
      </c>
      <c r="B407" s="21" t="inlineStr">
        <is>
          <t>2026-05-16</t>
        </is>
      </c>
      <c r="C407" s="21" t="inlineStr">
        <is>
          <t>PD-005-XL</t>
        </is>
      </c>
      <c r="D407" s="21" t="inlineStr">
        <is>
          <t>PD-005</t>
        </is>
      </c>
      <c r="E407" s="12" t="inlineStr">
        <is>
          <t>Shiraz Wrap Evening Dress</t>
        </is>
      </c>
      <c r="F407" s="12" t="inlineStr">
        <is>
          <t>Dresses</t>
        </is>
      </c>
      <c r="G407" s="21" t="inlineStr">
        <is>
          <t>XL</t>
        </is>
      </c>
      <c r="H407" s="13" t="n">
        <v>2</v>
      </c>
      <c r="I407" s="14" t="n">
        <v>9200</v>
      </c>
      <c r="J407" s="14">
        <f>H407*I407</f>
        <v/>
      </c>
      <c r="K407" s="14" t="n">
        <v>3500</v>
      </c>
      <c r="L407" s="14">
        <f>H407*K407</f>
        <v/>
      </c>
      <c r="M407" s="14">
        <f>J407-L407</f>
        <v/>
      </c>
      <c r="N407" s="21" t="inlineStr">
        <is>
          <t>WH-HYD-01</t>
        </is>
      </c>
      <c r="O407" s="21" t="inlineStr">
        <is>
          <t>Online Store</t>
        </is>
      </c>
    </row>
    <row r="408" ht="19" customHeight="1">
      <c r="A408" s="20" t="inlineStr">
        <is>
          <t>ORD-2025379</t>
        </is>
      </c>
      <c r="B408" s="20" t="inlineStr">
        <is>
          <t>2026-05-16</t>
        </is>
      </c>
      <c r="C408" s="20" t="inlineStr">
        <is>
          <t>PD-007-XL</t>
        </is>
      </c>
      <c r="D408" s="20" t="inlineStr">
        <is>
          <t>PD-007</t>
        </is>
      </c>
      <c r="E408" s="9" t="inlineStr">
        <is>
          <t>Burgundy Trench Coat</t>
        </is>
      </c>
      <c r="F408" s="9" t="inlineStr">
        <is>
          <t>Outerwear</t>
        </is>
      </c>
      <c r="G408" s="20" t="inlineStr">
        <is>
          <t>XL</t>
        </is>
      </c>
      <c r="H408" s="10" t="n">
        <v>1</v>
      </c>
      <c r="I408" s="11" t="n">
        <v>12500</v>
      </c>
      <c r="J408" s="11">
        <f>H408*I408</f>
        <v/>
      </c>
      <c r="K408" s="11" t="n">
        <v>4800</v>
      </c>
      <c r="L408" s="11">
        <f>H408*K408</f>
        <v/>
      </c>
      <c r="M408" s="11">
        <f>J408-L408</f>
        <v/>
      </c>
      <c r="N408" s="20" t="inlineStr">
        <is>
          <t>WH-DEL-03</t>
        </is>
      </c>
      <c r="O408" s="20" t="inlineStr">
        <is>
          <t>Mobile App</t>
        </is>
      </c>
    </row>
    <row r="409" ht="19" customHeight="1">
      <c r="A409" s="21" t="inlineStr">
        <is>
          <t>ORD-2025399</t>
        </is>
      </c>
      <c r="B409" s="21" t="inlineStr">
        <is>
          <t>2026-05-19</t>
        </is>
      </c>
      <c r="C409" s="21" t="inlineStr">
        <is>
          <t>PD-003-S</t>
        </is>
      </c>
      <c r="D409" s="21" t="inlineStr">
        <is>
          <t>PD-003</t>
        </is>
      </c>
      <c r="E409" s="12" t="inlineStr">
        <is>
          <t>Bordeaux Lace Midi</t>
        </is>
      </c>
      <c r="F409" s="12" t="inlineStr">
        <is>
          <t>Dresses</t>
        </is>
      </c>
      <c r="G409" s="21" t="inlineStr">
        <is>
          <t>S</t>
        </is>
      </c>
      <c r="H409" s="13" t="n">
        <v>5</v>
      </c>
      <c r="I409" s="14" t="n">
        <v>7800</v>
      </c>
      <c r="J409" s="14">
        <f>H409*I409</f>
        <v/>
      </c>
      <c r="K409" s="14" t="n">
        <v>2800</v>
      </c>
      <c r="L409" s="14">
        <f>H409*K409</f>
        <v/>
      </c>
      <c r="M409" s="14">
        <f>J409-L409</f>
        <v/>
      </c>
      <c r="N409" s="21" t="inlineStr">
        <is>
          <t>WH-BLR-02</t>
        </is>
      </c>
      <c r="O409" s="21" t="inlineStr">
        <is>
          <t>Retail Store</t>
        </is>
      </c>
    </row>
    <row r="410" ht="19" customHeight="1">
      <c r="A410" s="20" t="inlineStr">
        <is>
          <t>ORD-2025463</t>
        </is>
      </c>
      <c r="B410" s="20" t="inlineStr">
        <is>
          <t>2026-05-19</t>
        </is>
      </c>
      <c r="C410" s="20" t="inlineStr">
        <is>
          <t>PD-007-M</t>
        </is>
      </c>
      <c r="D410" s="20" t="inlineStr">
        <is>
          <t>PD-007</t>
        </is>
      </c>
      <c r="E410" s="9" t="inlineStr">
        <is>
          <t>Burgundy Trench Coat</t>
        </is>
      </c>
      <c r="F410" s="9" t="inlineStr">
        <is>
          <t>Outerwear</t>
        </is>
      </c>
      <c r="G410" s="20" t="inlineStr">
        <is>
          <t>M</t>
        </is>
      </c>
      <c r="H410" s="10" t="n">
        <v>4</v>
      </c>
      <c r="I410" s="11" t="n">
        <v>12500</v>
      </c>
      <c r="J410" s="11">
        <f>H410*I410</f>
        <v/>
      </c>
      <c r="K410" s="11" t="n">
        <v>4800</v>
      </c>
      <c r="L410" s="11">
        <f>H410*K410</f>
        <v/>
      </c>
      <c r="M410" s="11">
        <f>J410-L410</f>
        <v/>
      </c>
      <c r="N410" s="20" t="inlineStr">
        <is>
          <t>WH-DEL-03</t>
        </is>
      </c>
      <c r="O410" s="20" t="inlineStr">
        <is>
          <t>Online Store</t>
        </is>
      </c>
    </row>
    <row r="411" ht="19" customHeight="1">
      <c r="A411" s="21" t="inlineStr">
        <is>
          <t>ORD-2025128</t>
        </is>
      </c>
      <c r="B411" s="21" t="inlineStr">
        <is>
          <t>2026-05-21</t>
        </is>
      </c>
      <c r="C411" s="21" t="inlineStr">
        <is>
          <t>PD-010-M</t>
        </is>
      </c>
      <c r="D411" s="21" t="inlineStr">
        <is>
          <t>PD-010</t>
        </is>
      </c>
      <c r="E411" s="12" t="inlineStr">
        <is>
          <t>Noir Tailored Blazer</t>
        </is>
      </c>
      <c r="F411" s="12" t="inlineStr">
        <is>
          <t>Outerwear</t>
        </is>
      </c>
      <c r="G411" s="21" t="inlineStr">
        <is>
          <t>M</t>
        </is>
      </c>
      <c r="H411" s="13" t="n">
        <v>1</v>
      </c>
      <c r="I411" s="14" t="n">
        <v>11000</v>
      </c>
      <c r="J411" s="14">
        <f>H411*I411</f>
        <v/>
      </c>
      <c r="K411" s="14" t="n">
        <v>4200</v>
      </c>
      <c r="L411" s="14">
        <f>H411*K411</f>
        <v/>
      </c>
      <c r="M411" s="14">
        <f>J411-L411</f>
        <v/>
      </c>
      <c r="N411" s="21" t="inlineStr">
        <is>
          <t>WH-HYD-01</t>
        </is>
      </c>
      <c r="O411" s="21" t="inlineStr">
        <is>
          <t>Retail Store</t>
        </is>
      </c>
    </row>
    <row r="412" ht="19" customHeight="1">
      <c r="A412" s="20" t="inlineStr">
        <is>
          <t>ORD-2025166</t>
        </is>
      </c>
      <c r="B412" s="20" t="inlineStr">
        <is>
          <t>2026-05-21</t>
        </is>
      </c>
      <c r="C412" s="20" t="inlineStr">
        <is>
          <t>PD-008-L</t>
        </is>
      </c>
      <c r="D412" s="20" t="inlineStr">
        <is>
          <t>PD-008</t>
        </is>
      </c>
      <c r="E412" s="9" t="inlineStr">
        <is>
          <t>Tuscan Sun Silk Skirt</t>
        </is>
      </c>
      <c r="F412" s="9" t="inlineStr">
        <is>
          <t>Skirts</t>
        </is>
      </c>
      <c r="G412" s="20" t="inlineStr">
        <is>
          <t>L</t>
        </is>
      </c>
      <c r="H412" s="10" t="n">
        <v>5</v>
      </c>
      <c r="I412" s="11" t="n">
        <v>4500</v>
      </c>
      <c r="J412" s="11">
        <f>H412*I412</f>
        <v/>
      </c>
      <c r="K412" s="11" t="n">
        <v>1600</v>
      </c>
      <c r="L412" s="11">
        <f>H412*K412</f>
        <v/>
      </c>
      <c r="M412" s="11">
        <f>J412-L412</f>
        <v/>
      </c>
      <c r="N412" s="20" t="inlineStr">
        <is>
          <t>WH-HYD-01</t>
        </is>
      </c>
      <c r="O412" s="20" t="inlineStr">
        <is>
          <t>Mobile App</t>
        </is>
      </c>
    </row>
    <row r="413" ht="19" customHeight="1">
      <c r="A413" s="21" t="inlineStr">
        <is>
          <t>ORD-2025237</t>
        </is>
      </c>
      <c r="B413" s="21" t="inlineStr">
        <is>
          <t>2026-05-21</t>
        </is>
      </c>
      <c r="C413" s="21" t="inlineStr">
        <is>
          <t>PD-005-M</t>
        </is>
      </c>
      <c r="D413" s="21" t="inlineStr">
        <is>
          <t>PD-005</t>
        </is>
      </c>
      <c r="E413" s="12" t="inlineStr">
        <is>
          <t>Shiraz Wrap Evening Dress</t>
        </is>
      </c>
      <c r="F413" s="12" t="inlineStr">
        <is>
          <t>Dresses</t>
        </is>
      </c>
      <c r="G413" s="21" t="inlineStr">
        <is>
          <t>M</t>
        </is>
      </c>
      <c r="H413" s="13" t="n">
        <v>2</v>
      </c>
      <c r="I413" s="14" t="n">
        <v>9200</v>
      </c>
      <c r="J413" s="14">
        <f>H413*I413</f>
        <v/>
      </c>
      <c r="K413" s="14" t="n">
        <v>3500</v>
      </c>
      <c r="L413" s="14">
        <f>H413*K413</f>
        <v/>
      </c>
      <c r="M413" s="14">
        <f>J413-L413</f>
        <v/>
      </c>
      <c r="N413" s="21" t="inlineStr">
        <is>
          <t>WH-DEL-03</t>
        </is>
      </c>
      <c r="O413" s="21" t="inlineStr">
        <is>
          <t>Online Store</t>
        </is>
      </c>
    </row>
    <row r="414" ht="19" customHeight="1">
      <c r="A414" s="20" t="inlineStr">
        <is>
          <t>ORD-2025009</t>
        </is>
      </c>
      <c r="B414" s="20" t="inlineStr">
        <is>
          <t>2026-05-22</t>
        </is>
      </c>
      <c r="C414" s="20" t="inlineStr">
        <is>
          <t>PD-003-M</t>
        </is>
      </c>
      <c r="D414" s="20" t="inlineStr">
        <is>
          <t>PD-003</t>
        </is>
      </c>
      <c r="E414" s="9" t="inlineStr">
        <is>
          <t>Bordeaux Lace Midi</t>
        </is>
      </c>
      <c r="F414" s="9" t="inlineStr">
        <is>
          <t>Dresses</t>
        </is>
      </c>
      <c r="G414" s="20" t="inlineStr">
        <is>
          <t>M</t>
        </is>
      </c>
      <c r="H414" s="10" t="n">
        <v>2</v>
      </c>
      <c r="I414" s="11" t="n">
        <v>7800</v>
      </c>
      <c r="J414" s="11">
        <f>H414*I414</f>
        <v/>
      </c>
      <c r="K414" s="11" t="n">
        <v>2800</v>
      </c>
      <c r="L414" s="11">
        <f>H414*K414</f>
        <v/>
      </c>
      <c r="M414" s="11">
        <f>J414-L414</f>
        <v/>
      </c>
      <c r="N414" s="20" t="inlineStr">
        <is>
          <t>WH-BLR-02</t>
        </is>
      </c>
      <c r="O414" s="20" t="inlineStr">
        <is>
          <t>Online Store</t>
        </is>
      </c>
    </row>
    <row r="415" ht="19" customHeight="1">
      <c r="A415" s="21" t="inlineStr">
        <is>
          <t>ORD-2025093</t>
        </is>
      </c>
      <c r="B415" s="21" t="inlineStr">
        <is>
          <t>2026-05-23</t>
        </is>
      </c>
      <c r="C415" s="21" t="inlineStr">
        <is>
          <t>PD-010-XL</t>
        </is>
      </c>
      <c r="D415" s="21" t="inlineStr">
        <is>
          <t>PD-010</t>
        </is>
      </c>
      <c r="E415" s="12" t="inlineStr">
        <is>
          <t>Noir Tailored Blazer</t>
        </is>
      </c>
      <c r="F415" s="12" t="inlineStr">
        <is>
          <t>Outerwear</t>
        </is>
      </c>
      <c r="G415" s="21" t="inlineStr">
        <is>
          <t>XL</t>
        </is>
      </c>
      <c r="H415" s="13" t="n">
        <v>1</v>
      </c>
      <c r="I415" s="14" t="n">
        <v>11000</v>
      </c>
      <c r="J415" s="14">
        <f>H415*I415</f>
        <v/>
      </c>
      <c r="K415" s="14" t="n">
        <v>4200</v>
      </c>
      <c r="L415" s="14">
        <f>H415*K415</f>
        <v/>
      </c>
      <c r="M415" s="14">
        <f>J415-L415</f>
        <v/>
      </c>
      <c r="N415" s="21" t="inlineStr">
        <is>
          <t>WH-BLR-02</t>
        </is>
      </c>
      <c r="O415" s="21" t="inlineStr">
        <is>
          <t>Retail Store</t>
        </is>
      </c>
    </row>
    <row r="416" ht="19" customHeight="1">
      <c r="A416" s="20" t="inlineStr">
        <is>
          <t>ORD-2025141</t>
        </is>
      </c>
      <c r="B416" s="20" t="inlineStr">
        <is>
          <t>2026-05-23</t>
        </is>
      </c>
      <c r="C416" s="20" t="inlineStr">
        <is>
          <t>PD-009-M</t>
        </is>
      </c>
      <c r="D416" s="20" t="inlineStr">
        <is>
          <t>PD-009</t>
        </is>
      </c>
      <c r="E416" s="9" t="inlineStr">
        <is>
          <t>Syrah Pleated Maxi Skirt</t>
        </is>
      </c>
      <c r="F416" s="9" t="inlineStr">
        <is>
          <t>Skirts</t>
        </is>
      </c>
      <c r="G416" s="20" t="inlineStr">
        <is>
          <t>M</t>
        </is>
      </c>
      <c r="H416" s="10" t="n">
        <v>4</v>
      </c>
      <c r="I416" s="11" t="n">
        <v>5400</v>
      </c>
      <c r="J416" s="11">
        <f>H416*I416</f>
        <v/>
      </c>
      <c r="K416" s="11" t="n">
        <v>1900</v>
      </c>
      <c r="L416" s="11">
        <f>H416*K416</f>
        <v/>
      </c>
      <c r="M416" s="11">
        <f>J416-L416</f>
        <v/>
      </c>
      <c r="N416" s="20" t="inlineStr">
        <is>
          <t>WH-BLR-02</t>
        </is>
      </c>
      <c r="O416" s="20" t="inlineStr">
        <is>
          <t>Online Store</t>
        </is>
      </c>
    </row>
    <row r="417" ht="19" customHeight="1">
      <c r="A417" s="21" t="inlineStr">
        <is>
          <t>ORD-2025169</t>
        </is>
      </c>
      <c r="B417" s="21" t="inlineStr">
        <is>
          <t>2026-05-23</t>
        </is>
      </c>
      <c r="C417" s="21" t="inlineStr">
        <is>
          <t>PD-010-M</t>
        </is>
      </c>
      <c r="D417" s="21" t="inlineStr">
        <is>
          <t>PD-010</t>
        </is>
      </c>
      <c r="E417" s="12" t="inlineStr">
        <is>
          <t>Noir Tailored Blazer</t>
        </is>
      </c>
      <c r="F417" s="12" t="inlineStr">
        <is>
          <t>Outerwear</t>
        </is>
      </c>
      <c r="G417" s="21" t="inlineStr">
        <is>
          <t>M</t>
        </is>
      </c>
      <c r="H417" s="13" t="n">
        <v>1</v>
      </c>
      <c r="I417" s="14" t="n">
        <v>11000</v>
      </c>
      <c r="J417" s="14">
        <f>H417*I417</f>
        <v/>
      </c>
      <c r="K417" s="14" t="n">
        <v>4200</v>
      </c>
      <c r="L417" s="14">
        <f>H417*K417</f>
        <v/>
      </c>
      <c r="M417" s="14">
        <f>J417-L417</f>
        <v/>
      </c>
      <c r="N417" s="21" t="inlineStr">
        <is>
          <t>WH-HYD-01</t>
        </is>
      </c>
      <c r="O417" s="21" t="inlineStr">
        <is>
          <t>Mobile App</t>
        </is>
      </c>
    </row>
    <row r="418" ht="19" customHeight="1">
      <c r="A418" s="20" t="inlineStr">
        <is>
          <t>ORD-2025226</t>
        </is>
      </c>
      <c r="B418" s="20" t="inlineStr">
        <is>
          <t>2026-05-23</t>
        </is>
      </c>
      <c r="C418" s="20" t="inlineStr">
        <is>
          <t>PD-005-XL</t>
        </is>
      </c>
      <c r="D418" s="20" t="inlineStr">
        <is>
          <t>PD-005</t>
        </is>
      </c>
      <c r="E418" s="9" t="inlineStr">
        <is>
          <t>Shiraz Wrap Evening Dress</t>
        </is>
      </c>
      <c r="F418" s="9" t="inlineStr">
        <is>
          <t>Dresses</t>
        </is>
      </c>
      <c r="G418" s="20" t="inlineStr">
        <is>
          <t>XL</t>
        </is>
      </c>
      <c r="H418" s="10" t="n">
        <v>5</v>
      </c>
      <c r="I418" s="11" t="n">
        <v>9200</v>
      </c>
      <c r="J418" s="11">
        <f>H418*I418</f>
        <v/>
      </c>
      <c r="K418" s="11" t="n">
        <v>3500</v>
      </c>
      <c r="L418" s="11">
        <f>H418*K418</f>
        <v/>
      </c>
      <c r="M418" s="11">
        <f>J418-L418</f>
        <v/>
      </c>
      <c r="N418" s="20" t="inlineStr">
        <is>
          <t>WH-DEL-03</t>
        </is>
      </c>
      <c r="O418" s="20" t="inlineStr">
        <is>
          <t>Online Store</t>
        </is>
      </c>
    </row>
    <row r="419" ht="19" customHeight="1">
      <c r="A419" s="21" t="inlineStr">
        <is>
          <t>ORD-2025251</t>
        </is>
      </c>
      <c r="B419" s="21" t="inlineStr">
        <is>
          <t>2026-05-23</t>
        </is>
      </c>
      <c r="C419" s="21" t="inlineStr">
        <is>
          <t>PD-003-XL</t>
        </is>
      </c>
      <c r="D419" s="21" t="inlineStr">
        <is>
          <t>PD-003</t>
        </is>
      </c>
      <c r="E419" s="12" t="inlineStr">
        <is>
          <t>Bordeaux Lace Midi</t>
        </is>
      </c>
      <c r="F419" s="12" t="inlineStr">
        <is>
          <t>Dresses</t>
        </is>
      </c>
      <c r="G419" s="21" t="inlineStr">
        <is>
          <t>XL</t>
        </is>
      </c>
      <c r="H419" s="13" t="n">
        <v>1</v>
      </c>
      <c r="I419" s="14" t="n">
        <v>7800</v>
      </c>
      <c r="J419" s="14">
        <f>H419*I419</f>
        <v/>
      </c>
      <c r="K419" s="14" t="n">
        <v>2800</v>
      </c>
      <c r="L419" s="14">
        <f>H419*K419</f>
        <v/>
      </c>
      <c r="M419" s="14">
        <f>J419-L419</f>
        <v/>
      </c>
      <c r="N419" s="21" t="inlineStr">
        <is>
          <t>WH-DEL-03</t>
        </is>
      </c>
      <c r="O419" s="21" t="inlineStr">
        <is>
          <t>Retail Store</t>
        </is>
      </c>
    </row>
    <row r="420" ht="19" customHeight="1">
      <c r="A420" s="20" t="inlineStr">
        <is>
          <t>ORD-2025341</t>
        </is>
      </c>
      <c r="B420" s="20" t="inlineStr">
        <is>
          <t>2026-05-23</t>
        </is>
      </c>
      <c r="C420" s="20" t="inlineStr">
        <is>
          <t>PD-003-XS</t>
        </is>
      </c>
      <c r="D420" s="20" t="inlineStr">
        <is>
          <t>PD-003</t>
        </is>
      </c>
      <c r="E420" s="9" t="inlineStr">
        <is>
          <t>Bordeaux Lace Midi</t>
        </is>
      </c>
      <c r="F420" s="9" t="inlineStr">
        <is>
          <t>Dresses</t>
        </is>
      </c>
      <c r="G420" s="20" t="inlineStr">
        <is>
          <t>XS</t>
        </is>
      </c>
      <c r="H420" s="10" t="n">
        <v>3</v>
      </c>
      <c r="I420" s="11" t="n">
        <v>7800</v>
      </c>
      <c r="J420" s="11">
        <f>H420*I420</f>
        <v/>
      </c>
      <c r="K420" s="11" t="n">
        <v>2800</v>
      </c>
      <c r="L420" s="11">
        <f>H420*K420</f>
        <v/>
      </c>
      <c r="M420" s="11">
        <f>J420-L420</f>
        <v/>
      </c>
      <c r="N420" s="20" t="inlineStr">
        <is>
          <t>WH-BLR-02</t>
        </is>
      </c>
      <c r="O420" s="20" t="inlineStr">
        <is>
          <t>Retail Store</t>
        </is>
      </c>
    </row>
    <row r="421" ht="19" customHeight="1">
      <c r="A421" s="21" t="inlineStr">
        <is>
          <t>ORD-2025273</t>
        </is>
      </c>
      <c r="B421" s="21" t="inlineStr">
        <is>
          <t>2026-05-25</t>
        </is>
      </c>
      <c r="C421" s="21" t="inlineStr">
        <is>
          <t>PD-001-M</t>
        </is>
      </c>
      <c r="D421" s="21" t="inlineStr">
        <is>
          <t>PD-001</t>
        </is>
      </c>
      <c r="E421" s="12" t="inlineStr">
        <is>
          <t>Cabernet Velvet Gown</t>
        </is>
      </c>
      <c r="F421" s="12" t="inlineStr">
        <is>
          <t>Dresses</t>
        </is>
      </c>
      <c r="G421" s="21" t="inlineStr">
        <is>
          <t>M</t>
        </is>
      </c>
      <c r="H421" s="13" t="n">
        <v>5</v>
      </c>
      <c r="I421" s="14" t="n">
        <v>8500</v>
      </c>
      <c r="J421" s="14">
        <f>H421*I421</f>
        <v/>
      </c>
      <c r="K421" s="14" t="n">
        <v>3200</v>
      </c>
      <c r="L421" s="14">
        <f>H421*K421</f>
        <v/>
      </c>
      <c r="M421" s="14">
        <f>J421-L421</f>
        <v/>
      </c>
      <c r="N421" s="21" t="inlineStr">
        <is>
          <t>WH-BLR-02</t>
        </is>
      </c>
      <c r="O421" s="21" t="inlineStr">
        <is>
          <t>Retail Store</t>
        </is>
      </c>
    </row>
    <row r="422" ht="19" customHeight="1">
      <c r="A422" s="20" t="inlineStr">
        <is>
          <t>ORD-2025138</t>
        </is>
      </c>
      <c r="B422" s="20" t="inlineStr">
        <is>
          <t>2026-05-26</t>
        </is>
      </c>
      <c r="C422" s="20" t="inlineStr">
        <is>
          <t>PD-007-XL</t>
        </is>
      </c>
      <c r="D422" s="20" t="inlineStr">
        <is>
          <t>PD-007</t>
        </is>
      </c>
      <c r="E422" s="9" t="inlineStr">
        <is>
          <t>Burgundy Trench Coat</t>
        </is>
      </c>
      <c r="F422" s="9" t="inlineStr">
        <is>
          <t>Outerwear</t>
        </is>
      </c>
      <c r="G422" s="20" t="inlineStr">
        <is>
          <t>XL</t>
        </is>
      </c>
      <c r="H422" s="10" t="n">
        <v>4</v>
      </c>
      <c r="I422" s="11" t="n">
        <v>12500</v>
      </c>
      <c r="J422" s="11">
        <f>H422*I422</f>
        <v/>
      </c>
      <c r="K422" s="11" t="n">
        <v>4800</v>
      </c>
      <c r="L422" s="11">
        <f>H422*K422</f>
        <v/>
      </c>
      <c r="M422" s="11">
        <f>J422-L422</f>
        <v/>
      </c>
      <c r="N422" s="20" t="inlineStr">
        <is>
          <t>WH-BLR-02</t>
        </is>
      </c>
      <c r="O422" s="20" t="inlineStr">
        <is>
          <t>Retail Store</t>
        </is>
      </c>
    </row>
    <row r="423" ht="19" customHeight="1">
      <c r="A423" s="21" t="inlineStr">
        <is>
          <t>ORD-2025219</t>
        </is>
      </c>
      <c r="B423" s="21" t="inlineStr">
        <is>
          <t>2026-05-27</t>
        </is>
      </c>
      <c r="C423" s="21" t="inlineStr">
        <is>
          <t>PD-001-XL</t>
        </is>
      </c>
      <c r="D423" s="21" t="inlineStr">
        <is>
          <t>PD-001</t>
        </is>
      </c>
      <c r="E423" s="12" t="inlineStr">
        <is>
          <t>Cabernet Velvet Gown</t>
        </is>
      </c>
      <c r="F423" s="12" t="inlineStr">
        <is>
          <t>Dresses</t>
        </is>
      </c>
      <c r="G423" s="21" t="inlineStr">
        <is>
          <t>XL</t>
        </is>
      </c>
      <c r="H423" s="13" t="n">
        <v>2</v>
      </c>
      <c r="I423" s="14" t="n">
        <v>8500</v>
      </c>
      <c r="J423" s="14">
        <f>H423*I423</f>
        <v/>
      </c>
      <c r="K423" s="14" t="n">
        <v>3200</v>
      </c>
      <c r="L423" s="14">
        <f>H423*K423</f>
        <v/>
      </c>
      <c r="M423" s="14">
        <f>J423-L423</f>
        <v/>
      </c>
      <c r="N423" s="21" t="inlineStr">
        <is>
          <t>WH-DEL-03</t>
        </is>
      </c>
      <c r="O423" s="21" t="inlineStr">
        <is>
          <t>Mobile App</t>
        </is>
      </c>
    </row>
    <row r="424" ht="19" customHeight="1">
      <c r="A424" s="20" t="inlineStr">
        <is>
          <t>ORD-2025043</t>
        </is>
      </c>
      <c r="B424" s="20" t="inlineStr">
        <is>
          <t>2026-05-28</t>
        </is>
      </c>
      <c r="C424" s="20" t="inlineStr">
        <is>
          <t>PD-002-XS</t>
        </is>
      </c>
      <c r="D424" s="20" t="inlineStr">
        <is>
          <t>PD-002</t>
        </is>
      </c>
      <c r="E424" s="9" t="inlineStr">
        <is>
          <t>Merlot Satin Slip Dress</t>
        </is>
      </c>
      <c r="F424" s="9" t="inlineStr">
        <is>
          <t>Dresses</t>
        </is>
      </c>
      <c r="G424" s="20" t="inlineStr">
        <is>
          <t>XS</t>
        </is>
      </c>
      <c r="H424" s="10" t="n">
        <v>4</v>
      </c>
      <c r="I424" s="11" t="n">
        <v>6200</v>
      </c>
      <c r="J424" s="11">
        <f>H424*I424</f>
        <v/>
      </c>
      <c r="K424" s="11" t="n">
        <v>2100</v>
      </c>
      <c r="L424" s="11">
        <f>H424*K424</f>
        <v/>
      </c>
      <c r="M424" s="11">
        <f>J424-L424</f>
        <v/>
      </c>
      <c r="N424" s="20" t="inlineStr">
        <is>
          <t>WH-DEL-03</t>
        </is>
      </c>
      <c r="O424" s="20" t="inlineStr">
        <is>
          <t>Mobile App</t>
        </is>
      </c>
    </row>
    <row r="425" ht="19" customHeight="1">
      <c r="A425" s="21" t="inlineStr">
        <is>
          <t>ORD-2025238</t>
        </is>
      </c>
      <c r="B425" s="21" t="inlineStr">
        <is>
          <t>2026-05-28</t>
        </is>
      </c>
      <c r="C425" s="21" t="inlineStr">
        <is>
          <t>PD-004-S</t>
        </is>
      </c>
      <c r="D425" s="21" t="inlineStr">
        <is>
          <t>PD-004</t>
        </is>
      </c>
      <c r="E425" s="12" t="inlineStr">
        <is>
          <t>Rosé Off-Shoulder Mini</t>
        </is>
      </c>
      <c r="F425" s="12" t="inlineStr">
        <is>
          <t>Dresses</t>
        </is>
      </c>
      <c r="G425" s="21" t="inlineStr">
        <is>
          <t>S</t>
        </is>
      </c>
      <c r="H425" s="13" t="n">
        <v>2</v>
      </c>
      <c r="I425" s="14" t="n">
        <v>4900</v>
      </c>
      <c r="J425" s="14">
        <f>H425*I425</f>
        <v/>
      </c>
      <c r="K425" s="14" t="n">
        <v>1800</v>
      </c>
      <c r="L425" s="14">
        <f>H425*K425</f>
        <v/>
      </c>
      <c r="M425" s="14">
        <f>J425-L425</f>
        <v/>
      </c>
      <c r="N425" s="21" t="inlineStr">
        <is>
          <t>WH-DEL-03</t>
        </is>
      </c>
      <c r="O425" s="21" t="inlineStr">
        <is>
          <t>Online Store</t>
        </is>
      </c>
    </row>
    <row r="426" ht="19" customHeight="1">
      <c r="A426" s="20" t="inlineStr">
        <is>
          <t>ORD-2025378</t>
        </is>
      </c>
      <c r="B426" s="20" t="inlineStr">
        <is>
          <t>2026-05-29</t>
        </is>
      </c>
      <c r="C426" s="20" t="inlineStr">
        <is>
          <t>PD-006-XL</t>
        </is>
      </c>
      <c r="D426" s="20" t="inlineStr">
        <is>
          <t>PD-006</t>
        </is>
      </c>
      <c r="E426" s="9" t="inlineStr">
        <is>
          <t>Chiffon Crimson Blouse</t>
        </is>
      </c>
      <c r="F426" s="9" t="inlineStr">
        <is>
          <t>Tops</t>
        </is>
      </c>
      <c r="G426" s="20" t="inlineStr">
        <is>
          <t>XL</t>
        </is>
      </c>
      <c r="H426" s="10" t="n">
        <v>1</v>
      </c>
      <c r="I426" s="11" t="n">
        <v>3200</v>
      </c>
      <c r="J426" s="11">
        <f>H426*I426</f>
        <v/>
      </c>
      <c r="K426" s="11" t="n">
        <v>1100</v>
      </c>
      <c r="L426" s="11">
        <f>H426*K426</f>
        <v/>
      </c>
      <c r="M426" s="11">
        <f>J426-L426</f>
        <v/>
      </c>
      <c r="N426" s="20" t="inlineStr">
        <is>
          <t>WH-HYD-01</t>
        </is>
      </c>
      <c r="O426" s="20" t="inlineStr">
        <is>
          <t>Retail Store</t>
        </is>
      </c>
    </row>
    <row r="427" ht="19" customHeight="1">
      <c r="A427" s="21" t="inlineStr">
        <is>
          <t>ORD-2025002</t>
        </is>
      </c>
      <c r="B427" s="21" t="inlineStr">
        <is>
          <t>2026-06-01</t>
        </is>
      </c>
      <c r="C427" s="21" t="inlineStr">
        <is>
          <t>PD-003-XS</t>
        </is>
      </c>
      <c r="D427" s="21" t="inlineStr">
        <is>
          <t>PD-003</t>
        </is>
      </c>
      <c r="E427" s="12" t="inlineStr">
        <is>
          <t>Bordeaux Lace Midi</t>
        </is>
      </c>
      <c r="F427" s="12" t="inlineStr">
        <is>
          <t>Dresses</t>
        </is>
      </c>
      <c r="G427" s="21" t="inlineStr">
        <is>
          <t>XS</t>
        </is>
      </c>
      <c r="H427" s="13" t="n">
        <v>4</v>
      </c>
      <c r="I427" s="14" t="n">
        <v>7800</v>
      </c>
      <c r="J427" s="14">
        <f>H427*I427</f>
        <v/>
      </c>
      <c r="K427" s="14" t="n">
        <v>2800</v>
      </c>
      <c r="L427" s="14">
        <f>H427*K427</f>
        <v/>
      </c>
      <c r="M427" s="14">
        <f>J427-L427</f>
        <v/>
      </c>
      <c r="N427" s="21" t="inlineStr">
        <is>
          <t>WH-DEL-03</t>
        </is>
      </c>
      <c r="O427" s="21" t="inlineStr">
        <is>
          <t>Online Store</t>
        </is>
      </c>
    </row>
    <row r="428" ht="19" customHeight="1">
      <c r="A428" s="20" t="inlineStr">
        <is>
          <t>ORD-2025239</t>
        </is>
      </c>
      <c r="B428" s="20" t="inlineStr">
        <is>
          <t>2026-06-01</t>
        </is>
      </c>
      <c r="C428" s="20" t="inlineStr">
        <is>
          <t>PD-009-S</t>
        </is>
      </c>
      <c r="D428" s="20" t="inlineStr">
        <is>
          <t>PD-009</t>
        </is>
      </c>
      <c r="E428" s="9" t="inlineStr">
        <is>
          <t>Syrah Pleated Maxi Skirt</t>
        </is>
      </c>
      <c r="F428" s="9" t="inlineStr">
        <is>
          <t>Skirts</t>
        </is>
      </c>
      <c r="G428" s="20" t="inlineStr">
        <is>
          <t>S</t>
        </is>
      </c>
      <c r="H428" s="10" t="n">
        <v>1</v>
      </c>
      <c r="I428" s="11" t="n">
        <v>5400</v>
      </c>
      <c r="J428" s="11">
        <f>H428*I428</f>
        <v/>
      </c>
      <c r="K428" s="11" t="n">
        <v>1900</v>
      </c>
      <c r="L428" s="11">
        <f>H428*K428</f>
        <v/>
      </c>
      <c r="M428" s="11">
        <f>J428-L428</f>
        <v/>
      </c>
      <c r="N428" s="20" t="inlineStr">
        <is>
          <t>WH-BLR-02</t>
        </is>
      </c>
      <c r="O428" s="20" t="inlineStr">
        <is>
          <t>Retail Store</t>
        </is>
      </c>
    </row>
    <row r="429" ht="19" customHeight="1">
      <c r="A429" s="21" t="inlineStr">
        <is>
          <t>ORD-2025094</t>
        </is>
      </c>
      <c r="B429" s="21" t="inlineStr">
        <is>
          <t>2026-06-02</t>
        </is>
      </c>
      <c r="C429" s="21" t="inlineStr">
        <is>
          <t>PD-008-S</t>
        </is>
      </c>
      <c r="D429" s="21" t="inlineStr">
        <is>
          <t>PD-008</t>
        </is>
      </c>
      <c r="E429" s="12" t="inlineStr">
        <is>
          <t>Tuscan Sun Silk Skirt</t>
        </is>
      </c>
      <c r="F429" s="12" t="inlineStr">
        <is>
          <t>Skirts</t>
        </is>
      </c>
      <c r="G429" s="21" t="inlineStr">
        <is>
          <t>S</t>
        </is>
      </c>
      <c r="H429" s="13" t="n">
        <v>2</v>
      </c>
      <c r="I429" s="14" t="n">
        <v>4500</v>
      </c>
      <c r="J429" s="14">
        <f>H429*I429</f>
        <v/>
      </c>
      <c r="K429" s="14" t="n">
        <v>1600</v>
      </c>
      <c r="L429" s="14">
        <f>H429*K429</f>
        <v/>
      </c>
      <c r="M429" s="14">
        <f>J429-L429</f>
        <v/>
      </c>
      <c r="N429" s="21" t="inlineStr">
        <is>
          <t>WH-DEL-03</t>
        </is>
      </c>
      <c r="O429" s="21" t="inlineStr">
        <is>
          <t>Mobile App</t>
        </is>
      </c>
    </row>
    <row r="430" ht="19" customHeight="1">
      <c r="A430" s="20" t="inlineStr">
        <is>
          <t>ORD-2025197</t>
        </is>
      </c>
      <c r="B430" s="20" t="inlineStr">
        <is>
          <t>2026-06-02</t>
        </is>
      </c>
      <c r="C430" s="20" t="inlineStr">
        <is>
          <t>PD-008-L</t>
        </is>
      </c>
      <c r="D430" s="20" t="inlineStr">
        <is>
          <t>PD-008</t>
        </is>
      </c>
      <c r="E430" s="9" t="inlineStr">
        <is>
          <t>Tuscan Sun Silk Skirt</t>
        </is>
      </c>
      <c r="F430" s="9" t="inlineStr">
        <is>
          <t>Skirts</t>
        </is>
      </c>
      <c r="G430" s="20" t="inlineStr">
        <is>
          <t>L</t>
        </is>
      </c>
      <c r="H430" s="10" t="n">
        <v>2</v>
      </c>
      <c r="I430" s="11" t="n">
        <v>4500</v>
      </c>
      <c r="J430" s="11">
        <f>H430*I430</f>
        <v/>
      </c>
      <c r="K430" s="11" t="n">
        <v>1600</v>
      </c>
      <c r="L430" s="11">
        <f>H430*K430</f>
        <v/>
      </c>
      <c r="M430" s="11">
        <f>J430-L430</f>
        <v/>
      </c>
      <c r="N430" s="20" t="inlineStr">
        <is>
          <t>WH-DEL-03</t>
        </is>
      </c>
      <c r="O430" s="20" t="inlineStr">
        <is>
          <t>Online Store</t>
        </is>
      </c>
    </row>
    <row r="431" ht="19" customHeight="1">
      <c r="A431" s="21" t="inlineStr">
        <is>
          <t>ORD-2025472</t>
        </is>
      </c>
      <c r="B431" s="21" t="inlineStr">
        <is>
          <t>2026-06-02</t>
        </is>
      </c>
      <c r="C431" s="21" t="inlineStr">
        <is>
          <t>PD-001-S</t>
        </is>
      </c>
      <c r="D431" s="21" t="inlineStr">
        <is>
          <t>PD-001</t>
        </is>
      </c>
      <c r="E431" s="12" t="inlineStr">
        <is>
          <t>Cabernet Velvet Gown</t>
        </is>
      </c>
      <c r="F431" s="12" t="inlineStr">
        <is>
          <t>Dresses</t>
        </is>
      </c>
      <c r="G431" s="21" t="inlineStr">
        <is>
          <t>S</t>
        </is>
      </c>
      <c r="H431" s="13" t="n">
        <v>5</v>
      </c>
      <c r="I431" s="14" t="n">
        <v>8500</v>
      </c>
      <c r="J431" s="14">
        <f>H431*I431</f>
        <v/>
      </c>
      <c r="K431" s="14" t="n">
        <v>3200</v>
      </c>
      <c r="L431" s="14">
        <f>H431*K431</f>
        <v/>
      </c>
      <c r="M431" s="14">
        <f>J431-L431</f>
        <v/>
      </c>
      <c r="N431" s="21" t="inlineStr">
        <is>
          <t>WH-BLR-02</t>
        </is>
      </c>
      <c r="O431" s="21" t="inlineStr">
        <is>
          <t>Retail Store</t>
        </is>
      </c>
    </row>
    <row r="432" ht="19" customHeight="1">
      <c r="A432" s="20" t="inlineStr">
        <is>
          <t>ORD-2025475</t>
        </is>
      </c>
      <c r="B432" s="20" t="inlineStr">
        <is>
          <t>2026-06-02</t>
        </is>
      </c>
      <c r="C432" s="20" t="inlineStr">
        <is>
          <t>PD-010-S</t>
        </is>
      </c>
      <c r="D432" s="20" t="inlineStr">
        <is>
          <t>PD-010</t>
        </is>
      </c>
      <c r="E432" s="9" t="inlineStr">
        <is>
          <t>Noir Tailored Blazer</t>
        </is>
      </c>
      <c r="F432" s="9" t="inlineStr">
        <is>
          <t>Outerwear</t>
        </is>
      </c>
      <c r="G432" s="20" t="inlineStr">
        <is>
          <t>S</t>
        </is>
      </c>
      <c r="H432" s="10" t="n">
        <v>5</v>
      </c>
      <c r="I432" s="11" t="n">
        <v>11000</v>
      </c>
      <c r="J432" s="11">
        <f>H432*I432</f>
        <v/>
      </c>
      <c r="K432" s="11" t="n">
        <v>4200</v>
      </c>
      <c r="L432" s="11">
        <f>H432*K432</f>
        <v/>
      </c>
      <c r="M432" s="11">
        <f>J432-L432</f>
        <v/>
      </c>
      <c r="N432" s="20" t="inlineStr">
        <is>
          <t>WH-BLR-02</t>
        </is>
      </c>
      <c r="O432" s="20" t="inlineStr">
        <is>
          <t>Online Store</t>
        </is>
      </c>
    </row>
    <row r="433" ht="19" customHeight="1">
      <c r="A433" s="21" t="inlineStr">
        <is>
          <t>ORD-2025021</t>
        </is>
      </c>
      <c r="B433" s="21" t="inlineStr">
        <is>
          <t>2026-06-03</t>
        </is>
      </c>
      <c r="C433" s="21" t="inlineStr">
        <is>
          <t>PD-001-L</t>
        </is>
      </c>
      <c r="D433" s="21" t="inlineStr">
        <is>
          <t>PD-001</t>
        </is>
      </c>
      <c r="E433" s="12" t="inlineStr">
        <is>
          <t>Cabernet Velvet Gown</t>
        </is>
      </c>
      <c r="F433" s="12" t="inlineStr">
        <is>
          <t>Dresses</t>
        </is>
      </c>
      <c r="G433" s="21" t="inlineStr">
        <is>
          <t>L</t>
        </is>
      </c>
      <c r="H433" s="13" t="n">
        <v>2</v>
      </c>
      <c r="I433" s="14" t="n">
        <v>8500</v>
      </c>
      <c r="J433" s="14">
        <f>H433*I433</f>
        <v/>
      </c>
      <c r="K433" s="14" t="n">
        <v>3200</v>
      </c>
      <c r="L433" s="14">
        <f>H433*K433</f>
        <v/>
      </c>
      <c r="M433" s="14">
        <f>J433-L433</f>
        <v/>
      </c>
      <c r="N433" s="21" t="inlineStr">
        <is>
          <t>WH-HYD-01</t>
        </is>
      </c>
      <c r="O433" s="21" t="inlineStr">
        <is>
          <t>Online Store</t>
        </is>
      </c>
    </row>
    <row r="434" ht="19" customHeight="1">
      <c r="A434" s="20" t="inlineStr">
        <is>
          <t>ORD-2025056</t>
        </is>
      </c>
      <c r="B434" s="20" t="inlineStr">
        <is>
          <t>2026-06-04</t>
        </is>
      </c>
      <c r="C434" s="20" t="inlineStr">
        <is>
          <t>PD-004-S</t>
        </is>
      </c>
      <c r="D434" s="20" t="inlineStr">
        <is>
          <t>PD-004</t>
        </is>
      </c>
      <c r="E434" s="9" t="inlineStr">
        <is>
          <t>Rosé Off-Shoulder Mini</t>
        </is>
      </c>
      <c r="F434" s="9" t="inlineStr">
        <is>
          <t>Dresses</t>
        </is>
      </c>
      <c r="G434" s="20" t="inlineStr">
        <is>
          <t>S</t>
        </is>
      </c>
      <c r="H434" s="10" t="n">
        <v>5</v>
      </c>
      <c r="I434" s="11" t="n">
        <v>4900</v>
      </c>
      <c r="J434" s="11">
        <f>H434*I434</f>
        <v/>
      </c>
      <c r="K434" s="11" t="n">
        <v>1800</v>
      </c>
      <c r="L434" s="11">
        <f>H434*K434</f>
        <v/>
      </c>
      <c r="M434" s="11">
        <f>J434-L434</f>
        <v/>
      </c>
      <c r="N434" s="20" t="inlineStr">
        <is>
          <t>WH-BLR-02</t>
        </is>
      </c>
      <c r="O434" s="20" t="inlineStr">
        <is>
          <t>Retail Store</t>
        </is>
      </c>
    </row>
    <row r="435" ht="19" customHeight="1">
      <c r="A435" s="21" t="inlineStr">
        <is>
          <t>ORD-2025221</t>
        </is>
      </c>
      <c r="B435" s="21" t="inlineStr">
        <is>
          <t>2026-06-04</t>
        </is>
      </c>
      <c r="C435" s="21" t="inlineStr">
        <is>
          <t>PD-010-XS</t>
        </is>
      </c>
      <c r="D435" s="21" t="inlineStr">
        <is>
          <t>PD-010</t>
        </is>
      </c>
      <c r="E435" s="12" t="inlineStr">
        <is>
          <t>Noir Tailored Blazer</t>
        </is>
      </c>
      <c r="F435" s="12" t="inlineStr">
        <is>
          <t>Outerwear</t>
        </is>
      </c>
      <c r="G435" s="21" t="inlineStr">
        <is>
          <t>XS</t>
        </is>
      </c>
      <c r="H435" s="13" t="n">
        <v>1</v>
      </c>
      <c r="I435" s="14" t="n">
        <v>11000</v>
      </c>
      <c r="J435" s="14">
        <f>H435*I435</f>
        <v/>
      </c>
      <c r="K435" s="14" t="n">
        <v>4200</v>
      </c>
      <c r="L435" s="14">
        <f>H435*K435</f>
        <v/>
      </c>
      <c r="M435" s="14">
        <f>J435-L435</f>
        <v/>
      </c>
      <c r="N435" s="21" t="inlineStr">
        <is>
          <t>WH-BLR-02</t>
        </is>
      </c>
      <c r="O435" s="21" t="inlineStr">
        <is>
          <t>Online Store</t>
        </is>
      </c>
    </row>
    <row r="436" ht="19" customHeight="1">
      <c r="A436" s="20" t="inlineStr">
        <is>
          <t>ORD-2025278</t>
        </is>
      </c>
      <c r="B436" s="20" t="inlineStr">
        <is>
          <t>2026-06-04</t>
        </is>
      </c>
      <c r="C436" s="20" t="inlineStr">
        <is>
          <t>PD-008-M</t>
        </is>
      </c>
      <c r="D436" s="20" t="inlineStr">
        <is>
          <t>PD-008</t>
        </is>
      </c>
      <c r="E436" s="9" t="inlineStr">
        <is>
          <t>Tuscan Sun Silk Skirt</t>
        </is>
      </c>
      <c r="F436" s="9" t="inlineStr">
        <is>
          <t>Skirts</t>
        </is>
      </c>
      <c r="G436" s="20" t="inlineStr">
        <is>
          <t>M</t>
        </is>
      </c>
      <c r="H436" s="10" t="n">
        <v>5</v>
      </c>
      <c r="I436" s="11" t="n">
        <v>4500</v>
      </c>
      <c r="J436" s="11">
        <f>H436*I436</f>
        <v/>
      </c>
      <c r="K436" s="11" t="n">
        <v>1600</v>
      </c>
      <c r="L436" s="11">
        <f>H436*K436</f>
        <v/>
      </c>
      <c r="M436" s="11">
        <f>J436-L436</f>
        <v/>
      </c>
      <c r="N436" s="20" t="inlineStr">
        <is>
          <t>WH-DEL-03</t>
        </is>
      </c>
      <c r="O436" s="20" t="inlineStr">
        <is>
          <t>Retail Store</t>
        </is>
      </c>
    </row>
    <row r="437" ht="19" customHeight="1">
      <c r="A437" s="21" t="inlineStr">
        <is>
          <t>ORD-2025385</t>
        </is>
      </c>
      <c r="B437" s="21" t="inlineStr">
        <is>
          <t>2026-06-05</t>
        </is>
      </c>
      <c r="C437" s="21" t="inlineStr">
        <is>
          <t>PD-005-XL</t>
        </is>
      </c>
      <c r="D437" s="21" t="inlineStr">
        <is>
          <t>PD-005</t>
        </is>
      </c>
      <c r="E437" s="12" t="inlineStr">
        <is>
          <t>Shiraz Wrap Evening Dress</t>
        </is>
      </c>
      <c r="F437" s="12" t="inlineStr">
        <is>
          <t>Dresses</t>
        </is>
      </c>
      <c r="G437" s="21" t="inlineStr">
        <is>
          <t>XL</t>
        </is>
      </c>
      <c r="H437" s="13" t="n">
        <v>3</v>
      </c>
      <c r="I437" s="14" t="n">
        <v>9200</v>
      </c>
      <c r="J437" s="14">
        <f>H437*I437</f>
        <v/>
      </c>
      <c r="K437" s="14" t="n">
        <v>3500</v>
      </c>
      <c r="L437" s="14">
        <f>H437*K437</f>
        <v/>
      </c>
      <c r="M437" s="14">
        <f>J437-L437</f>
        <v/>
      </c>
      <c r="N437" s="21" t="inlineStr">
        <is>
          <t>WH-BLR-02</t>
        </is>
      </c>
      <c r="O437" s="21" t="inlineStr">
        <is>
          <t>Mobile App</t>
        </is>
      </c>
    </row>
    <row r="438" ht="19" customHeight="1">
      <c r="A438" s="20" t="inlineStr">
        <is>
          <t>ORD-2025228</t>
        </is>
      </c>
      <c r="B438" s="20" t="inlineStr">
        <is>
          <t>2026-06-06</t>
        </is>
      </c>
      <c r="C438" s="20" t="inlineStr">
        <is>
          <t>PD-004-S</t>
        </is>
      </c>
      <c r="D438" s="20" t="inlineStr">
        <is>
          <t>PD-004</t>
        </is>
      </c>
      <c r="E438" s="9" t="inlineStr">
        <is>
          <t>Rosé Off-Shoulder Mini</t>
        </is>
      </c>
      <c r="F438" s="9" t="inlineStr">
        <is>
          <t>Dresses</t>
        </is>
      </c>
      <c r="G438" s="20" t="inlineStr">
        <is>
          <t>S</t>
        </is>
      </c>
      <c r="H438" s="10" t="n">
        <v>4</v>
      </c>
      <c r="I438" s="11" t="n">
        <v>4900</v>
      </c>
      <c r="J438" s="11">
        <f>H438*I438</f>
        <v/>
      </c>
      <c r="K438" s="11" t="n">
        <v>1800</v>
      </c>
      <c r="L438" s="11">
        <f>H438*K438</f>
        <v/>
      </c>
      <c r="M438" s="11">
        <f>J438-L438</f>
        <v/>
      </c>
      <c r="N438" s="20" t="inlineStr">
        <is>
          <t>WH-BLR-02</t>
        </is>
      </c>
      <c r="O438" s="20" t="inlineStr">
        <is>
          <t>Mobile App</t>
        </is>
      </c>
    </row>
    <row r="439" ht="19" customHeight="1">
      <c r="A439" s="21" t="inlineStr">
        <is>
          <t>ORD-2025249</t>
        </is>
      </c>
      <c r="B439" s="21" t="inlineStr">
        <is>
          <t>2026-06-06</t>
        </is>
      </c>
      <c r="C439" s="21" t="inlineStr">
        <is>
          <t>PD-005-L</t>
        </is>
      </c>
      <c r="D439" s="21" t="inlineStr">
        <is>
          <t>PD-005</t>
        </is>
      </c>
      <c r="E439" s="12" t="inlineStr">
        <is>
          <t>Shiraz Wrap Evening Dress</t>
        </is>
      </c>
      <c r="F439" s="12" t="inlineStr">
        <is>
          <t>Dresses</t>
        </is>
      </c>
      <c r="G439" s="21" t="inlineStr">
        <is>
          <t>L</t>
        </is>
      </c>
      <c r="H439" s="13" t="n">
        <v>1</v>
      </c>
      <c r="I439" s="14" t="n">
        <v>9200</v>
      </c>
      <c r="J439" s="14">
        <f>H439*I439</f>
        <v/>
      </c>
      <c r="K439" s="14" t="n">
        <v>3500</v>
      </c>
      <c r="L439" s="14">
        <f>H439*K439</f>
        <v/>
      </c>
      <c r="M439" s="14">
        <f>J439-L439</f>
        <v/>
      </c>
      <c r="N439" s="21" t="inlineStr">
        <is>
          <t>WH-DEL-03</t>
        </is>
      </c>
      <c r="O439" s="21" t="inlineStr">
        <is>
          <t>Online Store</t>
        </is>
      </c>
    </row>
    <row r="440" ht="19" customHeight="1">
      <c r="A440" s="20" t="inlineStr">
        <is>
          <t>ORD-2025405</t>
        </is>
      </c>
      <c r="B440" s="20" t="inlineStr">
        <is>
          <t>2026-06-06</t>
        </is>
      </c>
      <c r="C440" s="20" t="inlineStr">
        <is>
          <t>PD-006-XS</t>
        </is>
      </c>
      <c r="D440" s="20" t="inlineStr">
        <is>
          <t>PD-006</t>
        </is>
      </c>
      <c r="E440" s="9" t="inlineStr">
        <is>
          <t>Chiffon Crimson Blouse</t>
        </is>
      </c>
      <c r="F440" s="9" t="inlineStr">
        <is>
          <t>Tops</t>
        </is>
      </c>
      <c r="G440" s="20" t="inlineStr">
        <is>
          <t>XS</t>
        </is>
      </c>
      <c r="H440" s="10" t="n">
        <v>3</v>
      </c>
      <c r="I440" s="11" t="n">
        <v>3200</v>
      </c>
      <c r="J440" s="11">
        <f>H440*I440</f>
        <v/>
      </c>
      <c r="K440" s="11" t="n">
        <v>1100</v>
      </c>
      <c r="L440" s="11">
        <f>H440*K440</f>
        <v/>
      </c>
      <c r="M440" s="11">
        <f>J440-L440</f>
        <v/>
      </c>
      <c r="N440" s="20" t="inlineStr">
        <is>
          <t>WH-DEL-03</t>
        </is>
      </c>
      <c r="O440" s="20" t="inlineStr">
        <is>
          <t>Mobile App</t>
        </is>
      </c>
    </row>
    <row r="441" ht="19" customHeight="1">
      <c r="A441" s="21" t="inlineStr">
        <is>
          <t>ORD-2025439</t>
        </is>
      </c>
      <c r="B441" s="21" t="inlineStr">
        <is>
          <t>2026-06-07</t>
        </is>
      </c>
      <c r="C441" s="21" t="inlineStr">
        <is>
          <t>PD-001-S</t>
        </is>
      </c>
      <c r="D441" s="21" t="inlineStr">
        <is>
          <t>PD-001</t>
        </is>
      </c>
      <c r="E441" s="12" t="inlineStr">
        <is>
          <t>Cabernet Velvet Gown</t>
        </is>
      </c>
      <c r="F441" s="12" t="inlineStr">
        <is>
          <t>Dresses</t>
        </is>
      </c>
      <c r="G441" s="21" t="inlineStr">
        <is>
          <t>S</t>
        </is>
      </c>
      <c r="H441" s="13" t="n">
        <v>4</v>
      </c>
      <c r="I441" s="14" t="n">
        <v>8500</v>
      </c>
      <c r="J441" s="14">
        <f>H441*I441</f>
        <v/>
      </c>
      <c r="K441" s="14" t="n">
        <v>3200</v>
      </c>
      <c r="L441" s="14">
        <f>H441*K441</f>
        <v/>
      </c>
      <c r="M441" s="14">
        <f>J441-L441</f>
        <v/>
      </c>
      <c r="N441" s="21" t="inlineStr">
        <is>
          <t>WH-DEL-03</t>
        </is>
      </c>
      <c r="O441" s="21" t="inlineStr">
        <is>
          <t>Mobile App</t>
        </is>
      </c>
    </row>
    <row r="442" ht="19" customHeight="1">
      <c r="A442" s="20" t="inlineStr">
        <is>
          <t>ORD-2025262</t>
        </is>
      </c>
      <c r="B442" s="20" t="inlineStr">
        <is>
          <t>2026-06-08</t>
        </is>
      </c>
      <c r="C442" s="20" t="inlineStr">
        <is>
          <t>PD-009-XS</t>
        </is>
      </c>
      <c r="D442" s="20" t="inlineStr">
        <is>
          <t>PD-009</t>
        </is>
      </c>
      <c r="E442" s="9" t="inlineStr">
        <is>
          <t>Syrah Pleated Maxi Skirt</t>
        </is>
      </c>
      <c r="F442" s="9" t="inlineStr">
        <is>
          <t>Skirts</t>
        </is>
      </c>
      <c r="G442" s="20" t="inlineStr">
        <is>
          <t>XS</t>
        </is>
      </c>
      <c r="H442" s="10" t="n">
        <v>5</v>
      </c>
      <c r="I442" s="11" t="n">
        <v>5400</v>
      </c>
      <c r="J442" s="11">
        <f>H442*I442</f>
        <v/>
      </c>
      <c r="K442" s="11" t="n">
        <v>1900</v>
      </c>
      <c r="L442" s="11">
        <f>H442*K442</f>
        <v/>
      </c>
      <c r="M442" s="11">
        <f>J442-L442</f>
        <v/>
      </c>
      <c r="N442" s="20" t="inlineStr">
        <is>
          <t>WH-HYD-01</t>
        </is>
      </c>
      <c r="O442" s="20" t="inlineStr">
        <is>
          <t>Online Store</t>
        </is>
      </c>
    </row>
    <row r="443" ht="19" customHeight="1">
      <c r="A443" s="21" t="inlineStr">
        <is>
          <t>ORD-2025274</t>
        </is>
      </c>
      <c r="B443" s="21" t="inlineStr">
        <is>
          <t>2026-06-09</t>
        </is>
      </c>
      <c r="C443" s="21" t="inlineStr">
        <is>
          <t>PD-001-S</t>
        </is>
      </c>
      <c r="D443" s="21" t="inlineStr">
        <is>
          <t>PD-001</t>
        </is>
      </c>
      <c r="E443" s="12" t="inlineStr">
        <is>
          <t>Cabernet Velvet Gown</t>
        </is>
      </c>
      <c r="F443" s="12" t="inlineStr">
        <is>
          <t>Dresses</t>
        </is>
      </c>
      <c r="G443" s="21" t="inlineStr">
        <is>
          <t>S</t>
        </is>
      </c>
      <c r="H443" s="13" t="n">
        <v>1</v>
      </c>
      <c r="I443" s="14" t="n">
        <v>8500</v>
      </c>
      <c r="J443" s="14">
        <f>H443*I443</f>
        <v/>
      </c>
      <c r="K443" s="14" t="n">
        <v>3200</v>
      </c>
      <c r="L443" s="14">
        <f>H443*K443</f>
        <v/>
      </c>
      <c r="M443" s="14">
        <f>J443-L443</f>
        <v/>
      </c>
      <c r="N443" s="21" t="inlineStr">
        <is>
          <t>WH-BLR-02</t>
        </is>
      </c>
      <c r="O443" s="21" t="inlineStr">
        <is>
          <t>Retail Store</t>
        </is>
      </c>
    </row>
    <row r="444" ht="19" customHeight="1">
      <c r="A444" s="20" t="inlineStr">
        <is>
          <t>ORD-2025295</t>
        </is>
      </c>
      <c r="B444" s="20" t="inlineStr">
        <is>
          <t>2026-06-09</t>
        </is>
      </c>
      <c r="C444" s="20" t="inlineStr">
        <is>
          <t>PD-008-XS</t>
        </is>
      </c>
      <c r="D444" s="20" t="inlineStr">
        <is>
          <t>PD-008</t>
        </is>
      </c>
      <c r="E444" s="9" t="inlineStr">
        <is>
          <t>Tuscan Sun Silk Skirt</t>
        </is>
      </c>
      <c r="F444" s="9" t="inlineStr">
        <is>
          <t>Skirts</t>
        </is>
      </c>
      <c r="G444" s="20" t="inlineStr">
        <is>
          <t>XS</t>
        </is>
      </c>
      <c r="H444" s="10" t="n">
        <v>1</v>
      </c>
      <c r="I444" s="11" t="n">
        <v>4500</v>
      </c>
      <c r="J444" s="11">
        <f>H444*I444</f>
        <v/>
      </c>
      <c r="K444" s="11" t="n">
        <v>1600</v>
      </c>
      <c r="L444" s="11">
        <f>H444*K444</f>
        <v/>
      </c>
      <c r="M444" s="11">
        <f>J444-L444</f>
        <v/>
      </c>
      <c r="N444" s="20" t="inlineStr">
        <is>
          <t>WH-DEL-03</t>
        </is>
      </c>
      <c r="O444" s="20" t="inlineStr">
        <is>
          <t>Mobile App</t>
        </is>
      </c>
    </row>
    <row r="445" ht="19" customHeight="1">
      <c r="A445" s="21" t="inlineStr">
        <is>
          <t>ORD-2025349</t>
        </is>
      </c>
      <c r="B445" s="21" t="inlineStr">
        <is>
          <t>2026-06-09</t>
        </is>
      </c>
      <c r="C445" s="21" t="inlineStr">
        <is>
          <t>PD-005-S</t>
        </is>
      </c>
      <c r="D445" s="21" t="inlineStr">
        <is>
          <t>PD-005</t>
        </is>
      </c>
      <c r="E445" s="12" t="inlineStr">
        <is>
          <t>Shiraz Wrap Evening Dress</t>
        </is>
      </c>
      <c r="F445" s="12" t="inlineStr">
        <is>
          <t>Dresses</t>
        </is>
      </c>
      <c r="G445" s="21" t="inlineStr">
        <is>
          <t>S</t>
        </is>
      </c>
      <c r="H445" s="13" t="n">
        <v>2</v>
      </c>
      <c r="I445" s="14" t="n">
        <v>9200</v>
      </c>
      <c r="J445" s="14">
        <f>H445*I445</f>
        <v/>
      </c>
      <c r="K445" s="14" t="n">
        <v>3500</v>
      </c>
      <c r="L445" s="14">
        <f>H445*K445</f>
        <v/>
      </c>
      <c r="M445" s="14">
        <f>J445-L445</f>
        <v/>
      </c>
      <c r="N445" s="21" t="inlineStr">
        <is>
          <t>WH-DEL-03</t>
        </is>
      </c>
      <c r="O445" s="21" t="inlineStr">
        <is>
          <t>Mobile App</t>
        </is>
      </c>
    </row>
    <row r="446" ht="19" customHeight="1">
      <c r="A446" s="20" t="inlineStr">
        <is>
          <t>ORD-2025147</t>
        </is>
      </c>
      <c r="B446" s="20" t="inlineStr">
        <is>
          <t>2026-06-10</t>
        </is>
      </c>
      <c r="C446" s="20" t="inlineStr">
        <is>
          <t>PD-010-XS</t>
        </is>
      </c>
      <c r="D446" s="20" t="inlineStr">
        <is>
          <t>PD-010</t>
        </is>
      </c>
      <c r="E446" s="9" t="inlineStr">
        <is>
          <t>Noir Tailored Blazer</t>
        </is>
      </c>
      <c r="F446" s="9" t="inlineStr">
        <is>
          <t>Outerwear</t>
        </is>
      </c>
      <c r="G446" s="20" t="inlineStr">
        <is>
          <t>XS</t>
        </is>
      </c>
      <c r="H446" s="10" t="n">
        <v>4</v>
      </c>
      <c r="I446" s="11" t="n">
        <v>11000</v>
      </c>
      <c r="J446" s="11">
        <f>H446*I446</f>
        <v/>
      </c>
      <c r="K446" s="11" t="n">
        <v>4200</v>
      </c>
      <c r="L446" s="11">
        <f>H446*K446</f>
        <v/>
      </c>
      <c r="M446" s="11">
        <f>J446-L446</f>
        <v/>
      </c>
      <c r="N446" s="20" t="inlineStr">
        <is>
          <t>WH-BLR-02</t>
        </is>
      </c>
      <c r="O446" s="20" t="inlineStr">
        <is>
          <t>Online Store</t>
        </is>
      </c>
    </row>
    <row r="447" ht="19" customHeight="1">
      <c r="A447" s="21" t="inlineStr">
        <is>
          <t>ORD-2025325</t>
        </is>
      </c>
      <c r="B447" s="21" t="inlineStr">
        <is>
          <t>2026-06-10</t>
        </is>
      </c>
      <c r="C447" s="21" t="inlineStr">
        <is>
          <t>PD-002-XL</t>
        </is>
      </c>
      <c r="D447" s="21" t="inlineStr">
        <is>
          <t>PD-002</t>
        </is>
      </c>
      <c r="E447" s="12" t="inlineStr">
        <is>
          <t>Merlot Satin Slip Dress</t>
        </is>
      </c>
      <c r="F447" s="12" t="inlineStr">
        <is>
          <t>Dresses</t>
        </is>
      </c>
      <c r="G447" s="21" t="inlineStr">
        <is>
          <t>XL</t>
        </is>
      </c>
      <c r="H447" s="13" t="n">
        <v>2</v>
      </c>
      <c r="I447" s="14" t="n">
        <v>6200</v>
      </c>
      <c r="J447" s="14">
        <f>H447*I447</f>
        <v/>
      </c>
      <c r="K447" s="14" t="n">
        <v>2100</v>
      </c>
      <c r="L447" s="14">
        <f>H447*K447</f>
        <v/>
      </c>
      <c r="M447" s="14">
        <f>J447-L447</f>
        <v/>
      </c>
      <c r="N447" s="21" t="inlineStr">
        <is>
          <t>WH-HYD-01</t>
        </is>
      </c>
      <c r="O447" s="21" t="inlineStr">
        <is>
          <t>Online Store</t>
        </is>
      </c>
    </row>
    <row r="448" ht="19" customHeight="1">
      <c r="A448" s="20" t="inlineStr">
        <is>
          <t>ORD-2025200</t>
        </is>
      </c>
      <c r="B448" s="20" t="inlineStr">
        <is>
          <t>2026-06-11</t>
        </is>
      </c>
      <c r="C448" s="20" t="inlineStr">
        <is>
          <t>PD-002-XL</t>
        </is>
      </c>
      <c r="D448" s="20" t="inlineStr">
        <is>
          <t>PD-002</t>
        </is>
      </c>
      <c r="E448" s="9" t="inlineStr">
        <is>
          <t>Merlot Satin Slip Dress</t>
        </is>
      </c>
      <c r="F448" s="9" t="inlineStr">
        <is>
          <t>Dresses</t>
        </is>
      </c>
      <c r="G448" s="20" t="inlineStr">
        <is>
          <t>XL</t>
        </is>
      </c>
      <c r="H448" s="10" t="n">
        <v>4</v>
      </c>
      <c r="I448" s="11" t="n">
        <v>6200</v>
      </c>
      <c r="J448" s="11">
        <f>H448*I448</f>
        <v/>
      </c>
      <c r="K448" s="11" t="n">
        <v>2100</v>
      </c>
      <c r="L448" s="11">
        <f>H448*K448</f>
        <v/>
      </c>
      <c r="M448" s="11">
        <f>J448-L448</f>
        <v/>
      </c>
      <c r="N448" s="20" t="inlineStr">
        <is>
          <t>WH-DEL-03</t>
        </is>
      </c>
      <c r="O448" s="20" t="inlineStr">
        <is>
          <t>Retail Store</t>
        </is>
      </c>
    </row>
    <row r="449" ht="19" customHeight="1">
      <c r="A449" s="21" t="inlineStr">
        <is>
          <t>ORD-2025394</t>
        </is>
      </c>
      <c r="B449" s="21" t="inlineStr">
        <is>
          <t>2026-06-11</t>
        </is>
      </c>
      <c r="C449" s="21" t="inlineStr">
        <is>
          <t>PD-003-M</t>
        </is>
      </c>
      <c r="D449" s="21" t="inlineStr">
        <is>
          <t>PD-003</t>
        </is>
      </c>
      <c r="E449" s="12" t="inlineStr">
        <is>
          <t>Bordeaux Lace Midi</t>
        </is>
      </c>
      <c r="F449" s="12" t="inlineStr">
        <is>
          <t>Dresses</t>
        </is>
      </c>
      <c r="G449" s="21" t="inlineStr">
        <is>
          <t>M</t>
        </is>
      </c>
      <c r="H449" s="13" t="n">
        <v>3</v>
      </c>
      <c r="I449" s="14" t="n">
        <v>7800</v>
      </c>
      <c r="J449" s="14">
        <f>H449*I449</f>
        <v/>
      </c>
      <c r="K449" s="14" t="n">
        <v>2800</v>
      </c>
      <c r="L449" s="14">
        <f>H449*K449</f>
        <v/>
      </c>
      <c r="M449" s="14">
        <f>J449-L449</f>
        <v/>
      </c>
      <c r="N449" s="21" t="inlineStr">
        <is>
          <t>WH-BLR-02</t>
        </is>
      </c>
      <c r="O449" s="21" t="inlineStr">
        <is>
          <t>Online Store</t>
        </is>
      </c>
    </row>
    <row r="450" ht="19" customHeight="1">
      <c r="A450" s="20" t="inlineStr">
        <is>
          <t>ORD-2025217</t>
        </is>
      </c>
      <c r="B450" s="20" t="inlineStr">
        <is>
          <t>2026-06-12</t>
        </is>
      </c>
      <c r="C450" s="20" t="inlineStr">
        <is>
          <t>PD-002-XS</t>
        </is>
      </c>
      <c r="D450" s="20" t="inlineStr">
        <is>
          <t>PD-002</t>
        </is>
      </c>
      <c r="E450" s="9" t="inlineStr">
        <is>
          <t>Merlot Satin Slip Dress</t>
        </is>
      </c>
      <c r="F450" s="9" t="inlineStr">
        <is>
          <t>Dresses</t>
        </is>
      </c>
      <c r="G450" s="20" t="inlineStr">
        <is>
          <t>XS</t>
        </is>
      </c>
      <c r="H450" s="10" t="n">
        <v>3</v>
      </c>
      <c r="I450" s="11" t="n">
        <v>6200</v>
      </c>
      <c r="J450" s="11">
        <f>H450*I450</f>
        <v/>
      </c>
      <c r="K450" s="11" t="n">
        <v>2100</v>
      </c>
      <c r="L450" s="11">
        <f>H450*K450</f>
        <v/>
      </c>
      <c r="M450" s="11">
        <f>J450-L450</f>
        <v/>
      </c>
      <c r="N450" s="20" t="inlineStr">
        <is>
          <t>WH-DEL-03</t>
        </is>
      </c>
      <c r="O450" s="20" t="inlineStr">
        <is>
          <t>Mobile App</t>
        </is>
      </c>
    </row>
    <row r="451" ht="19" customHeight="1">
      <c r="A451" s="21" t="inlineStr">
        <is>
          <t>ORD-2025212</t>
        </is>
      </c>
      <c r="B451" s="21" t="inlineStr">
        <is>
          <t>2026-06-13</t>
        </is>
      </c>
      <c r="C451" s="21" t="inlineStr">
        <is>
          <t>PD-002-XL</t>
        </is>
      </c>
      <c r="D451" s="21" t="inlineStr">
        <is>
          <t>PD-002</t>
        </is>
      </c>
      <c r="E451" s="12" t="inlineStr">
        <is>
          <t>Merlot Satin Slip Dress</t>
        </is>
      </c>
      <c r="F451" s="12" t="inlineStr">
        <is>
          <t>Dresses</t>
        </is>
      </c>
      <c r="G451" s="21" t="inlineStr">
        <is>
          <t>XL</t>
        </is>
      </c>
      <c r="H451" s="13" t="n">
        <v>4</v>
      </c>
      <c r="I451" s="14" t="n">
        <v>6200</v>
      </c>
      <c r="J451" s="14">
        <f>H451*I451</f>
        <v/>
      </c>
      <c r="K451" s="14" t="n">
        <v>2100</v>
      </c>
      <c r="L451" s="14">
        <f>H451*K451</f>
        <v/>
      </c>
      <c r="M451" s="14">
        <f>J451-L451</f>
        <v/>
      </c>
      <c r="N451" s="21" t="inlineStr">
        <is>
          <t>WH-HYD-01</t>
        </is>
      </c>
      <c r="O451" s="21" t="inlineStr">
        <is>
          <t>Online Store</t>
        </is>
      </c>
    </row>
    <row r="452" ht="19" customHeight="1">
      <c r="A452" s="20" t="inlineStr">
        <is>
          <t>ORD-2025498</t>
        </is>
      </c>
      <c r="B452" s="20" t="inlineStr">
        <is>
          <t>2026-06-14</t>
        </is>
      </c>
      <c r="C452" s="20" t="inlineStr">
        <is>
          <t>PD-007-XS</t>
        </is>
      </c>
      <c r="D452" s="20" t="inlineStr">
        <is>
          <t>PD-007</t>
        </is>
      </c>
      <c r="E452" s="9" t="inlineStr">
        <is>
          <t>Burgundy Trench Coat</t>
        </is>
      </c>
      <c r="F452" s="9" t="inlineStr">
        <is>
          <t>Outerwear</t>
        </is>
      </c>
      <c r="G452" s="20" t="inlineStr">
        <is>
          <t>XS</t>
        </is>
      </c>
      <c r="H452" s="10" t="n">
        <v>4</v>
      </c>
      <c r="I452" s="11" t="n">
        <v>12500</v>
      </c>
      <c r="J452" s="11">
        <f>H452*I452</f>
        <v/>
      </c>
      <c r="K452" s="11" t="n">
        <v>4800</v>
      </c>
      <c r="L452" s="11">
        <f>H452*K452</f>
        <v/>
      </c>
      <c r="M452" s="11">
        <f>J452-L452</f>
        <v/>
      </c>
      <c r="N452" s="20" t="inlineStr">
        <is>
          <t>WH-DEL-03</t>
        </is>
      </c>
      <c r="O452" s="20" t="inlineStr">
        <is>
          <t>Online Store</t>
        </is>
      </c>
    </row>
    <row r="453" ht="19" customHeight="1">
      <c r="A453" s="21" t="inlineStr">
        <is>
          <t>ORD-2025087</t>
        </is>
      </c>
      <c r="B453" s="21" t="inlineStr">
        <is>
          <t>2026-06-15</t>
        </is>
      </c>
      <c r="C453" s="21" t="inlineStr">
        <is>
          <t>PD-005-XS</t>
        </is>
      </c>
      <c r="D453" s="21" t="inlineStr">
        <is>
          <t>PD-005</t>
        </is>
      </c>
      <c r="E453" s="12" t="inlineStr">
        <is>
          <t>Shiraz Wrap Evening Dress</t>
        </is>
      </c>
      <c r="F453" s="12" t="inlineStr">
        <is>
          <t>Dresses</t>
        </is>
      </c>
      <c r="G453" s="21" t="inlineStr">
        <is>
          <t>XS</t>
        </is>
      </c>
      <c r="H453" s="13" t="n">
        <v>4</v>
      </c>
      <c r="I453" s="14" t="n">
        <v>9200</v>
      </c>
      <c r="J453" s="14">
        <f>H453*I453</f>
        <v/>
      </c>
      <c r="K453" s="14" t="n">
        <v>3500</v>
      </c>
      <c r="L453" s="14">
        <f>H453*K453</f>
        <v/>
      </c>
      <c r="M453" s="14">
        <f>J453-L453</f>
        <v/>
      </c>
      <c r="N453" s="21" t="inlineStr">
        <is>
          <t>WH-BLR-02</t>
        </is>
      </c>
      <c r="O453" s="21" t="inlineStr">
        <is>
          <t>Retail Store</t>
        </is>
      </c>
    </row>
    <row r="454" ht="19" customHeight="1">
      <c r="A454" s="20" t="inlineStr">
        <is>
          <t>ORD-2025096</t>
        </is>
      </c>
      <c r="B454" s="20" t="inlineStr">
        <is>
          <t>2026-06-15</t>
        </is>
      </c>
      <c r="C454" s="20" t="inlineStr">
        <is>
          <t>PD-009-XL</t>
        </is>
      </c>
      <c r="D454" s="20" t="inlineStr">
        <is>
          <t>PD-009</t>
        </is>
      </c>
      <c r="E454" s="9" t="inlineStr">
        <is>
          <t>Syrah Pleated Maxi Skirt</t>
        </is>
      </c>
      <c r="F454" s="9" t="inlineStr">
        <is>
          <t>Skirts</t>
        </is>
      </c>
      <c r="G454" s="20" t="inlineStr">
        <is>
          <t>XL</t>
        </is>
      </c>
      <c r="H454" s="10" t="n">
        <v>1</v>
      </c>
      <c r="I454" s="11" t="n">
        <v>5400</v>
      </c>
      <c r="J454" s="11">
        <f>H454*I454</f>
        <v/>
      </c>
      <c r="K454" s="11" t="n">
        <v>1900</v>
      </c>
      <c r="L454" s="11">
        <f>H454*K454</f>
        <v/>
      </c>
      <c r="M454" s="11">
        <f>J454-L454</f>
        <v/>
      </c>
      <c r="N454" s="20" t="inlineStr">
        <is>
          <t>WH-HYD-01</t>
        </is>
      </c>
      <c r="O454" s="20" t="inlineStr">
        <is>
          <t>Retail Store</t>
        </is>
      </c>
    </row>
    <row r="455" ht="19" customHeight="1">
      <c r="A455" s="21" t="inlineStr">
        <is>
          <t>ORD-2025327</t>
        </is>
      </c>
      <c r="B455" s="21" t="inlineStr">
        <is>
          <t>2026-06-15</t>
        </is>
      </c>
      <c r="C455" s="21" t="inlineStr">
        <is>
          <t>PD-001-XL</t>
        </is>
      </c>
      <c r="D455" s="21" t="inlineStr">
        <is>
          <t>PD-001</t>
        </is>
      </c>
      <c r="E455" s="12" t="inlineStr">
        <is>
          <t>Cabernet Velvet Gown</t>
        </is>
      </c>
      <c r="F455" s="12" t="inlineStr">
        <is>
          <t>Dresses</t>
        </is>
      </c>
      <c r="G455" s="21" t="inlineStr">
        <is>
          <t>XL</t>
        </is>
      </c>
      <c r="H455" s="13" t="n">
        <v>2</v>
      </c>
      <c r="I455" s="14" t="n">
        <v>8500</v>
      </c>
      <c r="J455" s="14">
        <f>H455*I455</f>
        <v/>
      </c>
      <c r="K455" s="14" t="n">
        <v>3200</v>
      </c>
      <c r="L455" s="14">
        <f>H455*K455</f>
        <v/>
      </c>
      <c r="M455" s="14">
        <f>J455-L455</f>
        <v/>
      </c>
      <c r="N455" s="21" t="inlineStr">
        <is>
          <t>WH-DEL-03</t>
        </is>
      </c>
      <c r="O455" s="21" t="inlineStr">
        <is>
          <t>Retail Store</t>
        </is>
      </c>
    </row>
    <row r="456" ht="19" customHeight="1">
      <c r="A456" s="20" t="inlineStr">
        <is>
          <t>ORD-2025347</t>
        </is>
      </c>
      <c r="B456" s="20" t="inlineStr">
        <is>
          <t>2026-06-15</t>
        </is>
      </c>
      <c r="C456" s="20" t="inlineStr">
        <is>
          <t>PD-009-XL</t>
        </is>
      </c>
      <c r="D456" s="20" t="inlineStr">
        <is>
          <t>PD-009</t>
        </is>
      </c>
      <c r="E456" s="9" t="inlineStr">
        <is>
          <t>Syrah Pleated Maxi Skirt</t>
        </is>
      </c>
      <c r="F456" s="9" t="inlineStr">
        <is>
          <t>Skirts</t>
        </is>
      </c>
      <c r="G456" s="20" t="inlineStr">
        <is>
          <t>XL</t>
        </is>
      </c>
      <c r="H456" s="10" t="n">
        <v>4</v>
      </c>
      <c r="I456" s="11" t="n">
        <v>5400</v>
      </c>
      <c r="J456" s="11">
        <f>H456*I456</f>
        <v/>
      </c>
      <c r="K456" s="11" t="n">
        <v>1900</v>
      </c>
      <c r="L456" s="11">
        <f>H456*K456</f>
        <v/>
      </c>
      <c r="M456" s="11">
        <f>J456-L456</f>
        <v/>
      </c>
      <c r="N456" s="20" t="inlineStr">
        <is>
          <t>WH-HYD-01</t>
        </is>
      </c>
      <c r="O456" s="20" t="inlineStr">
        <is>
          <t>Mobile App</t>
        </is>
      </c>
    </row>
    <row r="457" ht="19" customHeight="1">
      <c r="A457" s="21" t="inlineStr">
        <is>
          <t>ORD-2025395</t>
        </is>
      </c>
      <c r="B457" s="21" t="inlineStr">
        <is>
          <t>2026-06-15</t>
        </is>
      </c>
      <c r="C457" s="21" t="inlineStr">
        <is>
          <t>PD-005-S</t>
        </is>
      </c>
      <c r="D457" s="21" t="inlineStr">
        <is>
          <t>PD-005</t>
        </is>
      </c>
      <c r="E457" s="12" t="inlineStr">
        <is>
          <t>Shiraz Wrap Evening Dress</t>
        </is>
      </c>
      <c r="F457" s="12" t="inlineStr">
        <is>
          <t>Dresses</t>
        </is>
      </c>
      <c r="G457" s="21" t="inlineStr">
        <is>
          <t>S</t>
        </is>
      </c>
      <c r="H457" s="13" t="n">
        <v>3</v>
      </c>
      <c r="I457" s="14" t="n">
        <v>9200</v>
      </c>
      <c r="J457" s="14">
        <f>H457*I457</f>
        <v/>
      </c>
      <c r="K457" s="14" t="n">
        <v>3500</v>
      </c>
      <c r="L457" s="14">
        <f>H457*K457</f>
        <v/>
      </c>
      <c r="M457" s="14">
        <f>J457-L457</f>
        <v/>
      </c>
      <c r="N457" s="21" t="inlineStr">
        <is>
          <t>WH-HYD-01</t>
        </is>
      </c>
      <c r="O457" s="21" t="inlineStr">
        <is>
          <t>Retail Store</t>
        </is>
      </c>
    </row>
    <row r="458" ht="19" customHeight="1">
      <c r="A458" s="20" t="inlineStr">
        <is>
          <t>ORD-2025473</t>
        </is>
      </c>
      <c r="B458" s="20" t="inlineStr">
        <is>
          <t>2026-06-15</t>
        </is>
      </c>
      <c r="C458" s="20" t="inlineStr">
        <is>
          <t>PD-010-XL</t>
        </is>
      </c>
      <c r="D458" s="20" t="inlineStr">
        <is>
          <t>PD-010</t>
        </is>
      </c>
      <c r="E458" s="9" t="inlineStr">
        <is>
          <t>Noir Tailored Blazer</t>
        </is>
      </c>
      <c r="F458" s="9" t="inlineStr">
        <is>
          <t>Outerwear</t>
        </is>
      </c>
      <c r="G458" s="20" t="inlineStr">
        <is>
          <t>XL</t>
        </is>
      </c>
      <c r="H458" s="10" t="n">
        <v>5</v>
      </c>
      <c r="I458" s="11" t="n">
        <v>11000</v>
      </c>
      <c r="J458" s="11">
        <f>H458*I458</f>
        <v/>
      </c>
      <c r="K458" s="11" t="n">
        <v>4200</v>
      </c>
      <c r="L458" s="11">
        <f>H458*K458</f>
        <v/>
      </c>
      <c r="M458" s="11">
        <f>J458-L458</f>
        <v/>
      </c>
      <c r="N458" s="20" t="inlineStr">
        <is>
          <t>WH-DEL-03</t>
        </is>
      </c>
      <c r="O458" s="20" t="inlineStr">
        <is>
          <t>Online Store</t>
        </is>
      </c>
    </row>
    <row r="459" ht="19" customHeight="1">
      <c r="A459" s="21" t="inlineStr">
        <is>
          <t>ORD-2025491</t>
        </is>
      </c>
      <c r="B459" s="21" t="inlineStr">
        <is>
          <t>2026-06-15</t>
        </is>
      </c>
      <c r="C459" s="21" t="inlineStr">
        <is>
          <t>PD-004-S</t>
        </is>
      </c>
      <c r="D459" s="21" t="inlineStr">
        <is>
          <t>PD-004</t>
        </is>
      </c>
      <c r="E459" s="12" t="inlineStr">
        <is>
          <t>Rosé Off-Shoulder Mini</t>
        </is>
      </c>
      <c r="F459" s="12" t="inlineStr">
        <is>
          <t>Dresses</t>
        </is>
      </c>
      <c r="G459" s="21" t="inlineStr">
        <is>
          <t>S</t>
        </is>
      </c>
      <c r="H459" s="13" t="n">
        <v>4</v>
      </c>
      <c r="I459" s="14" t="n">
        <v>4900</v>
      </c>
      <c r="J459" s="14">
        <f>H459*I459</f>
        <v/>
      </c>
      <c r="K459" s="14" t="n">
        <v>1800</v>
      </c>
      <c r="L459" s="14">
        <f>H459*K459</f>
        <v/>
      </c>
      <c r="M459" s="14">
        <f>J459-L459</f>
        <v/>
      </c>
      <c r="N459" s="21" t="inlineStr">
        <is>
          <t>WH-HYD-01</t>
        </is>
      </c>
      <c r="O459" s="21" t="inlineStr">
        <is>
          <t>Online Store</t>
        </is>
      </c>
    </row>
    <row r="460" ht="19" customHeight="1">
      <c r="A460" s="20" t="inlineStr">
        <is>
          <t>ORD-2025345</t>
        </is>
      </c>
      <c r="B460" s="20" t="inlineStr">
        <is>
          <t>2026-06-16</t>
        </is>
      </c>
      <c r="C460" s="20" t="inlineStr">
        <is>
          <t>PD-008-L</t>
        </is>
      </c>
      <c r="D460" s="20" t="inlineStr">
        <is>
          <t>PD-008</t>
        </is>
      </c>
      <c r="E460" s="9" t="inlineStr">
        <is>
          <t>Tuscan Sun Silk Skirt</t>
        </is>
      </c>
      <c r="F460" s="9" t="inlineStr">
        <is>
          <t>Skirts</t>
        </is>
      </c>
      <c r="G460" s="20" t="inlineStr">
        <is>
          <t>L</t>
        </is>
      </c>
      <c r="H460" s="10" t="n">
        <v>2</v>
      </c>
      <c r="I460" s="11" t="n">
        <v>4500</v>
      </c>
      <c r="J460" s="11">
        <f>H460*I460</f>
        <v/>
      </c>
      <c r="K460" s="11" t="n">
        <v>1600</v>
      </c>
      <c r="L460" s="11">
        <f>H460*K460</f>
        <v/>
      </c>
      <c r="M460" s="11">
        <f>J460-L460</f>
        <v/>
      </c>
      <c r="N460" s="20" t="inlineStr">
        <is>
          <t>WH-BLR-02</t>
        </is>
      </c>
      <c r="O460" s="20" t="inlineStr">
        <is>
          <t>Online Store</t>
        </is>
      </c>
    </row>
    <row r="461" ht="19" customHeight="1">
      <c r="A461" s="21" t="inlineStr">
        <is>
          <t>ORD-2025387</t>
        </is>
      </c>
      <c r="B461" s="21" t="inlineStr">
        <is>
          <t>2026-06-16</t>
        </is>
      </c>
      <c r="C461" s="21" t="inlineStr">
        <is>
          <t>PD-009-XS</t>
        </is>
      </c>
      <c r="D461" s="21" t="inlineStr">
        <is>
          <t>PD-009</t>
        </is>
      </c>
      <c r="E461" s="12" t="inlineStr">
        <is>
          <t>Syrah Pleated Maxi Skirt</t>
        </is>
      </c>
      <c r="F461" s="12" t="inlineStr">
        <is>
          <t>Skirts</t>
        </is>
      </c>
      <c r="G461" s="21" t="inlineStr">
        <is>
          <t>XS</t>
        </is>
      </c>
      <c r="H461" s="13" t="n">
        <v>1</v>
      </c>
      <c r="I461" s="14" t="n">
        <v>5400</v>
      </c>
      <c r="J461" s="14">
        <f>H461*I461</f>
        <v/>
      </c>
      <c r="K461" s="14" t="n">
        <v>1900</v>
      </c>
      <c r="L461" s="14">
        <f>H461*K461</f>
        <v/>
      </c>
      <c r="M461" s="14">
        <f>J461-L461</f>
        <v/>
      </c>
      <c r="N461" s="21" t="inlineStr">
        <is>
          <t>WH-DEL-03</t>
        </is>
      </c>
      <c r="O461" s="21" t="inlineStr">
        <is>
          <t>Mobile App</t>
        </is>
      </c>
    </row>
    <row r="462" ht="19" customHeight="1">
      <c r="A462" s="20" t="inlineStr">
        <is>
          <t>ORD-2025305</t>
        </is>
      </c>
      <c r="B462" s="20" t="inlineStr">
        <is>
          <t>2026-06-18</t>
        </is>
      </c>
      <c r="C462" s="20" t="inlineStr">
        <is>
          <t>PD-006-M</t>
        </is>
      </c>
      <c r="D462" s="20" t="inlineStr">
        <is>
          <t>PD-006</t>
        </is>
      </c>
      <c r="E462" s="9" t="inlineStr">
        <is>
          <t>Chiffon Crimson Blouse</t>
        </is>
      </c>
      <c r="F462" s="9" t="inlineStr">
        <is>
          <t>Tops</t>
        </is>
      </c>
      <c r="G462" s="20" t="inlineStr">
        <is>
          <t>M</t>
        </is>
      </c>
      <c r="H462" s="10" t="n">
        <v>4</v>
      </c>
      <c r="I462" s="11" t="n">
        <v>3200</v>
      </c>
      <c r="J462" s="11">
        <f>H462*I462</f>
        <v/>
      </c>
      <c r="K462" s="11" t="n">
        <v>1100</v>
      </c>
      <c r="L462" s="11">
        <f>H462*K462</f>
        <v/>
      </c>
      <c r="M462" s="11">
        <f>J462-L462</f>
        <v/>
      </c>
      <c r="N462" s="20" t="inlineStr">
        <is>
          <t>WH-DEL-03</t>
        </is>
      </c>
      <c r="O462" s="20" t="inlineStr">
        <is>
          <t>Retail Store</t>
        </is>
      </c>
    </row>
    <row r="463" ht="19" customHeight="1">
      <c r="A463" s="21" t="inlineStr">
        <is>
          <t>ORD-2025081</t>
        </is>
      </c>
      <c r="B463" s="21" t="inlineStr">
        <is>
          <t>2026-06-19</t>
        </is>
      </c>
      <c r="C463" s="21" t="inlineStr">
        <is>
          <t>PD-002-M</t>
        </is>
      </c>
      <c r="D463" s="21" t="inlineStr">
        <is>
          <t>PD-002</t>
        </is>
      </c>
      <c r="E463" s="12" t="inlineStr">
        <is>
          <t>Merlot Satin Slip Dress</t>
        </is>
      </c>
      <c r="F463" s="12" t="inlineStr">
        <is>
          <t>Dresses</t>
        </is>
      </c>
      <c r="G463" s="21" t="inlineStr">
        <is>
          <t>M</t>
        </is>
      </c>
      <c r="H463" s="13" t="n">
        <v>3</v>
      </c>
      <c r="I463" s="14" t="n">
        <v>6200</v>
      </c>
      <c r="J463" s="14">
        <f>H463*I463</f>
        <v/>
      </c>
      <c r="K463" s="14" t="n">
        <v>2100</v>
      </c>
      <c r="L463" s="14">
        <f>H463*K463</f>
        <v/>
      </c>
      <c r="M463" s="14">
        <f>J463-L463</f>
        <v/>
      </c>
      <c r="N463" s="21" t="inlineStr">
        <is>
          <t>WH-DEL-03</t>
        </is>
      </c>
      <c r="O463" s="21" t="inlineStr">
        <is>
          <t>Retail Store</t>
        </is>
      </c>
    </row>
    <row r="464" ht="19" customHeight="1">
      <c r="A464" s="20" t="inlineStr">
        <is>
          <t>ORD-2025090</t>
        </is>
      </c>
      <c r="B464" s="20" t="inlineStr">
        <is>
          <t>2026-06-19</t>
        </is>
      </c>
      <c r="C464" s="20" t="inlineStr">
        <is>
          <t>PD-009-XS</t>
        </is>
      </c>
      <c r="D464" s="20" t="inlineStr">
        <is>
          <t>PD-009</t>
        </is>
      </c>
      <c r="E464" s="9" t="inlineStr">
        <is>
          <t>Syrah Pleated Maxi Skirt</t>
        </is>
      </c>
      <c r="F464" s="9" t="inlineStr">
        <is>
          <t>Skirts</t>
        </is>
      </c>
      <c r="G464" s="20" t="inlineStr">
        <is>
          <t>XS</t>
        </is>
      </c>
      <c r="H464" s="10" t="n">
        <v>5</v>
      </c>
      <c r="I464" s="11" t="n">
        <v>5400</v>
      </c>
      <c r="J464" s="11">
        <f>H464*I464</f>
        <v/>
      </c>
      <c r="K464" s="11" t="n">
        <v>1900</v>
      </c>
      <c r="L464" s="11">
        <f>H464*K464</f>
        <v/>
      </c>
      <c r="M464" s="11">
        <f>J464-L464</f>
        <v/>
      </c>
      <c r="N464" s="20" t="inlineStr">
        <is>
          <t>WH-BLR-02</t>
        </is>
      </c>
      <c r="O464" s="20" t="inlineStr">
        <is>
          <t>Online Store</t>
        </is>
      </c>
    </row>
    <row r="465" ht="19" customHeight="1">
      <c r="A465" s="21" t="inlineStr">
        <is>
          <t>ORD-2025084</t>
        </is>
      </c>
      <c r="B465" s="21" t="inlineStr">
        <is>
          <t>2026-06-20</t>
        </is>
      </c>
      <c r="C465" s="21" t="inlineStr">
        <is>
          <t>PD-005-XL</t>
        </is>
      </c>
      <c r="D465" s="21" t="inlineStr">
        <is>
          <t>PD-005</t>
        </is>
      </c>
      <c r="E465" s="12" t="inlineStr">
        <is>
          <t>Shiraz Wrap Evening Dress</t>
        </is>
      </c>
      <c r="F465" s="12" t="inlineStr">
        <is>
          <t>Dresses</t>
        </is>
      </c>
      <c r="G465" s="21" t="inlineStr">
        <is>
          <t>XL</t>
        </is>
      </c>
      <c r="H465" s="13" t="n">
        <v>2</v>
      </c>
      <c r="I465" s="14" t="n">
        <v>9200</v>
      </c>
      <c r="J465" s="14">
        <f>H465*I465</f>
        <v/>
      </c>
      <c r="K465" s="14" t="n">
        <v>3500</v>
      </c>
      <c r="L465" s="14">
        <f>H465*K465</f>
        <v/>
      </c>
      <c r="M465" s="14">
        <f>J465-L465</f>
        <v/>
      </c>
      <c r="N465" s="21" t="inlineStr">
        <is>
          <t>WH-DEL-03</t>
        </is>
      </c>
      <c r="O465" s="21" t="inlineStr">
        <is>
          <t>Mobile App</t>
        </is>
      </c>
    </row>
    <row r="466" ht="19" customHeight="1">
      <c r="A466" s="20" t="inlineStr">
        <is>
          <t>ORD-2025082</t>
        </is>
      </c>
      <c r="B466" s="20" t="inlineStr">
        <is>
          <t>2026-06-21</t>
        </is>
      </c>
      <c r="C466" s="20" t="inlineStr">
        <is>
          <t>PD-006-S</t>
        </is>
      </c>
      <c r="D466" s="20" t="inlineStr">
        <is>
          <t>PD-006</t>
        </is>
      </c>
      <c r="E466" s="9" t="inlineStr">
        <is>
          <t>Chiffon Crimson Blouse</t>
        </is>
      </c>
      <c r="F466" s="9" t="inlineStr">
        <is>
          <t>Tops</t>
        </is>
      </c>
      <c r="G466" s="20" t="inlineStr">
        <is>
          <t>S</t>
        </is>
      </c>
      <c r="H466" s="10" t="n">
        <v>3</v>
      </c>
      <c r="I466" s="11" t="n">
        <v>3200</v>
      </c>
      <c r="J466" s="11">
        <f>H466*I466</f>
        <v/>
      </c>
      <c r="K466" s="11" t="n">
        <v>1100</v>
      </c>
      <c r="L466" s="11">
        <f>H466*K466</f>
        <v/>
      </c>
      <c r="M466" s="11">
        <f>J466-L466</f>
        <v/>
      </c>
      <c r="N466" s="20" t="inlineStr">
        <is>
          <t>WH-BLR-02</t>
        </is>
      </c>
      <c r="O466" s="20" t="inlineStr">
        <is>
          <t>Mobile App</t>
        </is>
      </c>
    </row>
    <row r="467" ht="19" customHeight="1">
      <c r="A467" s="21" t="inlineStr">
        <is>
          <t>ORD-2025023</t>
        </is>
      </c>
      <c r="B467" s="21" t="inlineStr">
        <is>
          <t>2026-06-22</t>
        </is>
      </c>
      <c r="C467" s="21" t="inlineStr">
        <is>
          <t>PD-007-S</t>
        </is>
      </c>
      <c r="D467" s="21" t="inlineStr">
        <is>
          <t>PD-007</t>
        </is>
      </c>
      <c r="E467" s="12" t="inlineStr">
        <is>
          <t>Burgundy Trench Coat</t>
        </is>
      </c>
      <c r="F467" s="12" t="inlineStr">
        <is>
          <t>Outerwear</t>
        </is>
      </c>
      <c r="G467" s="21" t="inlineStr">
        <is>
          <t>S</t>
        </is>
      </c>
      <c r="H467" s="13" t="n">
        <v>2</v>
      </c>
      <c r="I467" s="14" t="n">
        <v>12500</v>
      </c>
      <c r="J467" s="14">
        <f>H467*I467</f>
        <v/>
      </c>
      <c r="K467" s="14" t="n">
        <v>4800</v>
      </c>
      <c r="L467" s="14">
        <f>H467*K467</f>
        <v/>
      </c>
      <c r="M467" s="14">
        <f>J467-L467</f>
        <v/>
      </c>
      <c r="N467" s="21" t="inlineStr">
        <is>
          <t>WH-DEL-03</t>
        </is>
      </c>
      <c r="O467" s="21" t="inlineStr">
        <is>
          <t>Online Store</t>
        </is>
      </c>
    </row>
    <row r="468" ht="19" customHeight="1">
      <c r="A468" s="20" t="inlineStr">
        <is>
          <t>ORD-2025045</t>
        </is>
      </c>
      <c r="B468" s="20" t="inlineStr">
        <is>
          <t>2026-06-22</t>
        </is>
      </c>
      <c r="C468" s="20" t="inlineStr">
        <is>
          <t>PD-010-XS</t>
        </is>
      </c>
      <c r="D468" s="20" t="inlineStr">
        <is>
          <t>PD-010</t>
        </is>
      </c>
      <c r="E468" s="9" t="inlineStr">
        <is>
          <t>Noir Tailored Blazer</t>
        </is>
      </c>
      <c r="F468" s="9" t="inlineStr">
        <is>
          <t>Outerwear</t>
        </is>
      </c>
      <c r="G468" s="20" t="inlineStr">
        <is>
          <t>XS</t>
        </is>
      </c>
      <c r="H468" s="10" t="n">
        <v>3</v>
      </c>
      <c r="I468" s="11" t="n">
        <v>11000</v>
      </c>
      <c r="J468" s="11">
        <f>H468*I468</f>
        <v/>
      </c>
      <c r="K468" s="11" t="n">
        <v>4200</v>
      </c>
      <c r="L468" s="11">
        <f>H468*K468</f>
        <v/>
      </c>
      <c r="M468" s="11">
        <f>J468-L468</f>
        <v/>
      </c>
      <c r="N468" s="20" t="inlineStr">
        <is>
          <t>WH-HYD-01</t>
        </is>
      </c>
      <c r="O468" s="20" t="inlineStr">
        <is>
          <t>Retail Store</t>
        </is>
      </c>
    </row>
    <row r="469" ht="19" customHeight="1">
      <c r="A469" s="21" t="inlineStr">
        <is>
          <t>ORD-2025088</t>
        </is>
      </c>
      <c r="B469" s="21" t="inlineStr">
        <is>
          <t>2026-06-25</t>
        </is>
      </c>
      <c r="C469" s="21" t="inlineStr">
        <is>
          <t>PD-003-L</t>
        </is>
      </c>
      <c r="D469" s="21" t="inlineStr">
        <is>
          <t>PD-003</t>
        </is>
      </c>
      <c r="E469" s="12" t="inlineStr">
        <is>
          <t>Bordeaux Lace Midi</t>
        </is>
      </c>
      <c r="F469" s="12" t="inlineStr">
        <is>
          <t>Dresses</t>
        </is>
      </c>
      <c r="G469" s="21" t="inlineStr">
        <is>
          <t>L</t>
        </is>
      </c>
      <c r="H469" s="13" t="n">
        <v>5</v>
      </c>
      <c r="I469" s="14" t="n">
        <v>7800</v>
      </c>
      <c r="J469" s="14">
        <f>H469*I469</f>
        <v/>
      </c>
      <c r="K469" s="14" t="n">
        <v>2800</v>
      </c>
      <c r="L469" s="14">
        <f>H469*K469</f>
        <v/>
      </c>
      <c r="M469" s="14">
        <f>J469-L469</f>
        <v/>
      </c>
      <c r="N469" s="21" t="inlineStr">
        <is>
          <t>WH-BLR-02</t>
        </is>
      </c>
      <c r="O469" s="21" t="inlineStr">
        <is>
          <t>Mobile App</t>
        </is>
      </c>
    </row>
    <row r="470" ht="19" customHeight="1">
      <c r="A470" s="20" t="inlineStr">
        <is>
          <t>ORD-2025246</t>
        </is>
      </c>
      <c r="B470" s="20" t="inlineStr">
        <is>
          <t>2026-06-25</t>
        </is>
      </c>
      <c r="C470" s="20" t="inlineStr">
        <is>
          <t>PD-006-XS</t>
        </is>
      </c>
      <c r="D470" s="20" t="inlineStr">
        <is>
          <t>PD-006</t>
        </is>
      </c>
      <c r="E470" s="9" t="inlineStr">
        <is>
          <t>Chiffon Crimson Blouse</t>
        </is>
      </c>
      <c r="F470" s="9" t="inlineStr">
        <is>
          <t>Tops</t>
        </is>
      </c>
      <c r="G470" s="20" t="inlineStr">
        <is>
          <t>XS</t>
        </is>
      </c>
      <c r="H470" s="10" t="n">
        <v>5</v>
      </c>
      <c r="I470" s="11" t="n">
        <v>3200</v>
      </c>
      <c r="J470" s="11">
        <f>H470*I470</f>
        <v/>
      </c>
      <c r="K470" s="11" t="n">
        <v>1100</v>
      </c>
      <c r="L470" s="11">
        <f>H470*K470</f>
        <v/>
      </c>
      <c r="M470" s="11">
        <f>J470-L470</f>
        <v/>
      </c>
      <c r="N470" s="20" t="inlineStr">
        <is>
          <t>WH-BLR-02</t>
        </is>
      </c>
      <c r="O470" s="20" t="inlineStr">
        <is>
          <t>Online Store</t>
        </is>
      </c>
    </row>
    <row r="471" ht="19" customHeight="1">
      <c r="A471" s="21" t="inlineStr">
        <is>
          <t>ORD-2025130</t>
        </is>
      </c>
      <c r="B471" s="21" t="inlineStr">
        <is>
          <t>2026-06-26</t>
        </is>
      </c>
      <c r="C471" s="21" t="inlineStr">
        <is>
          <t>PD-005-XL</t>
        </is>
      </c>
      <c r="D471" s="21" t="inlineStr">
        <is>
          <t>PD-005</t>
        </is>
      </c>
      <c r="E471" s="12" t="inlineStr">
        <is>
          <t>Shiraz Wrap Evening Dress</t>
        </is>
      </c>
      <c r="F471" s="12" t="inlineStr">
        <is>
          <t>Dresses</t>
        </is>
      </c>
      <c r="G471" s="21" t="inlineStr">
        <is>
          <t>XL</t>
        </is>
      </c>
      <c r="H471" s="13" t="n">
        <v>4</v>
      </c>
      <c r="I471" s="14" t="n">
        <v>9200</v>
      </c>
      <c r="J471" s="14">
        <f>H471*I471</f>
        <v/>
      </c>
      <c r="K471" s="14" t="n">
        <v>3500</v>
      </c>
      <c r="L471" s="14">
        <f>H471*K471</f>
        <v/>
      </c>
      <c r="M471" s="14">
        <f>J471-L471</f>
        <v/>
      </c>
      <c r="N471" s="21" t="inlineStr">
        <is>
          <t>WH-DEL-03</t>
        </is>
      </c>
      <c r="O471" s="21" t="inlineStr">
        <is>
          <t>Online Store</t>
        </is>
      </c>
    </row>
    <row r="472" ht="19" customHeight="1">
      <c r="A472" s="20" t="inlineStr">
        <is>
          <t>ORD-2025308</t>
        </is>
      </c>
      <c r="B472" s="20" t="inlineStr">
        <is>
          <t>2026-06-27</t>
        </is>
      </c>
      <c r="C472" s="20" t="inlineStr">
        <is>
          <t>PD-008-M</t>
        </is>
      </c>
      <c r="D472" s="20" t="inlineStr">
        <is>
          <t>PD-008</t>
        </is>
      </c>
      <c r="E472" s="9" t="inlineStr">
        <is>
          <t>Tuscan Sun Silk Skirt</t>
        </is>
      </c>
      <c r="F472" s="9" t="inlineStr">
        <is>
          <t>Skirts</t>
        </is>
      </c>
      <c r="G472" s="20" t="inlineStr">
        <is>
          <t>M</t>
        </is>
      </c>
      <c r="H472" s="10" t="n">
        <v>4</v>
      </c>
      <c r="I472" s="11" t="n">
        <v>4500</v>
      </c>
      <c r="J472" s="11">
        <f>H472*I472</f>
        <v/>
      </c>
      <c r="K472" s="11" t="n">
        <v>1600</v>
      </c>
      <c r="L472" s="11">
        <f>H472*K472</f>
        <v/>
      </c>
      <c r="M472" s="11">
        <f>J472-L472</f>
        <v/>
      </c>
      <c r="N472" s="20" t="inlineStr">
        <is>
          <t>WH-DEL-03</t>
        </is>
      </c>
      <c r="O472" s="20" t="inlineStr">
        <is>
          <t>Mobile App</t>
        </is>
      </c>
    </row>
    <row r="473" ht="19" customHeight="1">
      <c r="A473" s="21" t="inlineStr">
        <is>
          <t>ORD-2025406</t>
        </is>
      </c>
      <c r="B473" s="21" t="inlineStr">
        <is>
          <t>2026-06-27</t>
        </is>
      </c>
      <c r="C473" s="21" t="inlineStr">
        <is>
          <t>PD-003-XS</t>
        </is>
      </c>
      <c r="D473" s="21" t="inlineStr">
        <is>
          <t>PD-003</t>
        </is>
      </c>
      <c r="E473" s="12" t="inlineStr">
        <is>
          <t>Bordeaux Lace Midi</t>
        </is>
      </c>
      <c r="F473" s="12" t="inlineStr">
        <is>
          <t>Dresses</t>
        </is>
      </c>
      <c r="G473" s="21" t="inlineStr">
        <is>
          <t>XS</t>
        </is>
      </c>
      <c r="H473" s="13" t="n">
        <v>1</v>
      </c>
      <c r="I473" s="14" t="n">
        <v>7800</v>
      </c>
      <c r="J473" s="14">
        <f>H473*I473</f>
        <v/>
      </c>
      <c r="K473" s="14" t="n">
        <v>2800</v>
      </c>
      <c r="L473" s="14">
        <f>H473*K473</f>
        <v/>
      </c>
      <c r="M473" s="14">
        <f>J473-L473</f>
        <v/>
      </c>
      <c r="N473" s="21" t="inlineStr">
        <is>
          <t>WH-HYD-01</t>
        </is>
      </c>
      <c r="O473" s="21" t="inlineStr">
        <is>
          <t>Mobile App</t>
        </is>
      </c>
    </row>
    <row r="474" ht="19" customHeight="1">
      <c r="A474" s="20" t="inlineStr">
        <is>
          <t>ORD-2025407</t>
        </is>
      </c>
      <c r="B474" s="20" t="inlineStr">
        <is>
          <t>2026-06-27</t>
        </is>
      </c>
      <c r="C474" s="20" t="inlineStr">
        <is>
          <t>PD-006-L</t>
        </is>
      </c>
      <c r="D474" s="20" t="inlineStr">
        <is>
          <t>PD-006</t>
        </is>
      </c>
      <c r="E474" s="9" t="inlineStr">
        <is>
          <t>Chiffon Crimson Blouse</t>
        </is>
      </c>
      <c r="F474" s="9" t="inlineStr">
        <is>
          <t>Tops</t>
        </is>
      </c>
      <c r="G474" s="20" t="inlineStr">
        <is>
          <t>L</t>
        </is>
      </c>
      <c r="H474" s="10" t="n">
        <v>1</v>
      </c>
      <c r="I474" s="11" t="n">
        <v>3200</v>
      </c>
      <c r="J474" s="11">
        <f>H474*I474</f>
        <v/>
      </c>
      <c r="K474" s="11" t="n">
        <v>1100</v>
      </c>
      <c r="L474" s="11">
        <f>H474*K474</f>
        <v/>
      </c>
      <c r="M474" s="11">
        <f>J474-L474</f>
        <v/>
      </c>
      <c r="N474" s="20" t="inlineStr">
        <is>
          <t>WH-HYD-01</t>
        </is>
      </c>
      <c r="O474" s="20" t="inlineStr">
        <is>
          <t>Online Store</t>
        </is>
      </c>
    </row>
    <row r="475" ht="19" customHeight="1">
      <c r="A475" s="21" t="inlineStr">
        <is>
          <t>ORD-2025329</t>
        </is>
      </c>
      <c r="B475" s="21" t="inlineStr">
        <is>
          <t>2026-06-28</t>
        </is>
      </c>
      <c r="C475" s="21" t="inlineStr">
        <is>
          <t>PD-008-S</t>
        </is>
      </c>
      <c r="D475" s="21" t="inlineStr">
        <is>
          <t>PD-008</t>
        </is>
      </c>
      <c r="E475" s="12" t="inlineStr">
        <is>
          <t>Tuscan Sun Silk Skirt</t>
        </is>
      </c>
      <c r="F475" s="12" t="inlineStr">
        <is>
          <t>Skirts</t>
        </is>
      </c>
      <c r="G475" s="21" t="inlineStr">
        <is>
          <t>S</t>
        </is>
      </c>
      <c r="H475" s="13" t="n">
        <v>5</v>
      </c>
      <c r="I475" s="14" t="n">
        <v>4500</v>
      </c>
      <c r="J475" s="14">
        <f>H475*I475</f>
        <v/>
      </c>
      <c r="K475" s="14" t="n">
        <v>1600</v>
      </c>
      <c r="L475" s="14">
        <f>H475*K475</f>
        <v/>
      </c>
      <c r="M475" s="14">
        <f>J475-L475</f>
        <v/>
      </c>
      <c r="N475" s="21" t="inlineStr">
        <is>
          <t>WH-BLR-02</t>
        </is>
      </c>
      <c r="O475" s="21" t="inlineStr">
        <is>
          <t>Mobile App</t>
        </is>
      </c>
    </row>
    <row r="476" ht="19" customHeight="1">
      <c r="A476" s="20" t="inlineStr">
        <is>
          <t>ORD-2025476</t>
        </is>
      </c>
      <c r="B476" s="20" t="inlineStr">
        <is>
          <t>2026-06-28</t>
        </is>
      </c>
      <c r="C476" s="20" t="inlineStr">
        <is>
          <t>PD-004-XS</t>
        </is>
      </c>
      <c r="D476" s="20" t="inlineStr">
        <is>
          <t>PD-004</t>
        </is>
      </c>
      <c r="E476" s="9" t="inlineStr">
        <is>
          <t>Rosé Off-Shoulder Mini</t>
        </is>
      </c>
      <c r="F476" s="9" t="inlineStr">
        <is>
          <t>Dresses</t>
        </is>
      </c>
      <c r="G476" s="20" t="inlineStr">
        <is>
          <t>XS</t>
        </is>
      </c>
      <c r="H476" s="10" t="n">
        <v>1</v>
      </c>
      <c r="I476" s="11" t="n">
        <v>4900</v>
      </c>
      <c r="J476" s="11">
        <f>H476*I476</f>
        <v/>
      </c>
      <c r="K476" s="11" t="n">
        <v>1800</v>
      </c>
      <c r="L476" s="11">
        <f>H476*K476</f>
        <v/>
      </c>
      <c r="M476" s="11">
        <f>J476-L476</f>
        <v/>
      </c>
      <c r="N476" s="20" t="inlineStr">
        <is>
          <t>WH-DEL-03</t>
        </is>
      </c>
      <c r="O476" s="20" t="inlineStr">
        <is>
          <t>Mobile App</t>
        </is>
      </c>
    </row>
    <row r="477" ht="19" customHeight="1">
      <c r="A477" s="21" t="inlineStr">
        <is>
          <t>ORD-2025225</t>
        </is>
      </c>
      <c r="B477" s="21" t="inlineStr">
        <is>
          <t>2026-06-29</t>
        </is>
      </c>
      <c r="C477" s="21" t="inlineStr">
        <is>
          <t>PD-003-S</t>
        </is>
      </c>
      <c r="D477" s="21" t="inlineStr">
        <is>
          <t>PD-003</t>
        </is>
      </c>
      <c r="E477" s="12" t="inlineStr">
        <is>
          <t>Bordeaux Lace Midi</t>
        </is>
      </c>
      <c r="F477" s="12" t="inlineStr">
        <is>
          <t>Dresses</t>
        </is>
      </c>
      <c r="G477" s="21" t="inlineStr">
        <is>
          <t>S</t>
        </is>
      </c>
      <c r="H477" s="13" t="n">
        <v>2</v>
      </c>
      <c r="I477" s="14" t="n">
        <v>7800</v>
      </c>
      <c r="J477" s="14">
        <f>H477*I477</f>
        <v/>
      </c>
      <c r="K477" s="14" t="n">
        <v>2800</v>
      </c>
      <c r="L477" s="14">
        <f>H477*K477</f>
        <v/>
      </c>
      <c r="M477" s="14">
        <f>J477-L477</f>
        <v/>
      </c>
      <c r="N477" s="21" t="inlineStr">
        <is>
          <t>WH-HYD-01</t>
        </is>
      </c>
      <c r="O477" s="21" t="inlineStr">
        <is>
          <t>Online Store</t>
        </is>
      </c>
    </row>
    <row r="478" ht="19" customHeight="1">
      <c r="A478" s="20" t="inlineStr">
        <is>
          <t>ORD-2025350</t>
        </is>
      </c>
      <c r="B478" s="20" t="inlineStr">
        <is>
          <t>2026-06-30</t>
        </is>
      </c>
      <c r="C478" s="20" t="inlineStr">
        <is>
          <t>PD-007-L</t>
        </is>
      </c>
      <c r="D478" s="20" t="inlineStr">
        <is>
          <t>PD-007</t>
        </is>
      </c>
      <c r="E478" s="9" t="inlineStr">
        <is>
          <t>Burgundy Trench Coat</t>
        </is>
      </c>
      <c r="F478" s="9" t="inlineStr">
        <is>
          <t>Outerwear</t>
        </is>
      </c>
      <c r="G478" s="20" t="inlineStr">
        <is>
          <t>L</t>
        </is>
      </c>
      <c r="H478" s="10" t="n">
        <v>1</v>
      </c>
      <c r="I478" s="11" t="n">
        <v>12500</v>
      </c>
      <c r="J478" s="11">
        <f>H478*I478</f>
        <v/>
      </c>
      <c r="K478" s="11" t="n">
        <v>4800</v>
      </c>
      <c r="L478" s="11">
        <f>H478*K478</f>
        <v/>
      </c>
      <c r="M478" s="11">
        <f>J478-L478</f>
        <v/>
      </c>
      <c r="N478" s="20" t="inlineStr">
        <is>
          <t>WH-DEL-03</t>
        </is>
      </c>
      <c r="O478" s="20" t="inlineStr">
        <is>
          <t>Mobile App</t>
        </is>
      </c>
    </row>
    <row r="479" ht="19" customHeight="1">
      <c r="A479" s="21" t="inlineStr">
        <is>
          <t>ORD-2025441</t>
        </is>
      </c>
      <c r="B479" s="21" t="inlineStr">
        <is>
          <t>2026-06-30</t>
        </is>
      </c>
      <c r="C479" s="21" t="inlineStr">
        <is>
          <t>PD-006-XS</t>
        </is>
      </c>
      <c r="D479" s="21" t="inlineStr">
        <is>
          <t>PD-006</t>
        </is>
      </c>
      <c r="E479" s="12" t="inlineStr">
        <is>
          <t>Chiffon Crimson Blouse</t>
        </is>
      </c>
      <c r="F479" s="12" t="inlineStr">
        <is>
          <t>Tops</t>
        </is>
      </c>
      <c r="G479" s="21" t="inlineStr">
        <is>
          <t>XS</t>
        </is>
      </c>
      <c r="H479" s="13" t="n">
        <v>3</v>
      </c>
      <c r="I479" s="14" t="n">
        <v>3200</v>
      </c>
      <c r="J479" s="14">
        <f>H479*I479</f>
        <v/>
      </c>
      <c r="K479" s="14" t="n">
        <v>1100</v>
      </c>
      <c r="L479" s="14">
        <f>H479*K479</f>
        <v/>
      </c>
      <c r="M479" s="14">
        <f>J479-L479</f>
        <v/>
      </c>
      <c r="N479" s="21" t="inlineStr">
        <is>
          <t>WH-BLR-02</t>
        </is>
      </c>
      <c r="O479" s="21" t="inlineStr">
        <is>
          <t>Online Store</t>
        </is>
      </c>
    </row>
    <row r="480" ht="19" customHeight="1">
      <c r="A480" s="20" t="inlineStr">
        <is>
          <t>ORD-2025079</t>
        </is>
      </c>
      <c r="B480" s="20" t="inlineStr">
        <is>
          <t>2026-07-01</t>
        </is>
      </c>
      <c r="C480" s="20" t="inlineStr">
        <is>
          <t>PD-010-S</t>
        </is>
      </c>
      <c r="D480" s="20" t="inlineStr">
        <is>
          <t>PD-010</t>
        </is>
      </c>
      <c r="E480" s="9" t="inlineStr">
        <is>
          <t>Noir Tailored Blazer</t>
        </is>
      </c>
      <c r="F480" s="9" t="inlineStr">
        <is>
          <t>Outerwear</t>
        </is>
      </c>
      <c r="G480" s="20" t="inlineStr">
        <is>
          <t>S</t>
        </is>
      </c>
      <c r="H480" s="10" t="n">
        <v>2</v>
      </c>
      <c r="I480" s="11" t="n">
        <v>11000</v>
      </c>
      <c r="J480" s="11">
        <f>H480*I480</f>
        <v/>
      </c>
      <c r="K480" s="11" t="n">
        <v>4200</v>
      </c>
      <c r="L480" s="11">
        <f>H480*K480</f>
        <v/>
      </c>
      <c r="M480" s="11">
        <f>J480-L480</f>
        <v/>
      </c>
      <c r="N480" s="20" t="inlineStr">
        <is>
          <t>WH-BLR-02</t>
        </is>
      </c>
      <c r="O480" s="20" t="inlineStr">
        <is>
          <t>Retail Store</t>
        </is>
      </c>
    </row>
    <row r="481" ht="19" customHeight="1">
      <c r="A481" s="21" t="inlineStr">
        <is>
          <t>ORD-2025442</t>
        </is>
      </c>
      <c r="B481" s="21" t="inlineStr">
        <is>
          <t>2026-07-02</t>
        </is>
      </c>
      <c r="C481" s="21" t="inlineStr">
        <is>
          <t>PD-001-L</t>
        </is>
      </c>
      <c r="D481" s="21" t="inlineStr">
        <is>
          <t>PD-001</t>
        </is>
      </c>
      <c r="E481" s="12" t="inlineStr">
        <is>
          <t>Cabernet Velvet Gown</t>
        </is>
      </c>
      <c r="F481" s="12" t="inlineStr">
        <is>
          <t>Dresses</t>
        </is>
      </c>
      <c r="G481" s="21" t="inlineStr">
        <is>
          <t>L</t>
        </is>
      </c>
      <c r="H481" s="13" t="n">
        <v>2</v>
      </c>
      <c r="I481" s="14" t="n">
        <v>8500</v>
      </c>
      <c r="J481" s="14">
        <f>H481*I481</f>
        <v/>
      </c>
      <c r="K481" s="14" t="n">
        <v>3200</v>
      </c>
      <c r="L481" s="14">
        <f>H481*K481</f>
        <v/>
      </c>
      <c r="M481" s="14">
        <f>J481-L481</f>
        <v/>
      </c>
      <c r="N481" s="21" t="inlineStr">
        <is>
          <t>WH-BLR-02</t>
        </is>
      </c>
      <c r="O481" s="21" t="inlineStr">
        <is>
          <t>Retail Store</t>
        </is>
      </c>
    </row>
    <row r="482" ht="19" customHeight="1">
      <c r="A482" s="20" t="inlineStr">
        <is>
          <t>ORD-2025061</t>
        </is>
      </c>
      <c r="B482" s="20" t="inlineStr">
        <is>
          <t>2026-07-03</t>
        </is>
      </c>
      <c r="C482" s="20" t="inlineStr">
        <is>
          <t>PD-002-XL</t>
        </is>
      </c>
      <c r="D482" s="20" t="inlineStr">
        <is>
          <t>PD-002</t>
        </is>
      </c>
      <c r="E482" s="9" t="inlineStr">
        <is>
          <t>Merlot Satin Slip Dress</t>
        </is>
      </c>
      <c r="F482" s="9" t="inlineStr">
        <is>
          <t>Dresses</t>
        </is>
      </c>
      <c r="G482" s="20" t="inlineStr">
        <is>
          <t>XL</t>
        </is>
      </c>
      <c r="H482" s="10" t="n">
        <v>5</v>
      </c>
      <c r="I482" s="11" t="n">
        <v>6200</v>
      </c>
      <c r="J482" s="11">
        <f>H482*I482</f>
        <v/>
      </c>
      <c r="K482" s="11" t="n">
        <v>2100</v>
      </c>
      <c r="L482" s="11">
        <f>H482*K482</f>
        <v/>
      </c>
      <c r="M482" s="11">
        <f>J482-L482</f>
        <v/>
      </c>
      <c r="N482" s="20" t="inlineStr">
        <is>
          <t>WH-HYD-01</t>
        </is>
      </c>
      <c r="O482" s="20" t="inlineStr">
        <is>
          <t>Retail Store</t>
        </is>
      </c>
    </row>
    <row r="483" ht="19" customHeight="1">
      <c r="A483" s="21" t="inlineStr">
        <is>
          <t>ORD-2025154</t>
        </is>
      </c>
      <c r="B483" s="21" t="inlineStr">
        <is>
          <t>2026-07-03</t>
        </is>
      </c>
      <c r="C483" s="21" t="inlineStr">
        <is>
          <t>PD-003-S</t>
        </is>
      </c>
      <c r="D483" s="21" t="inlineStr">
        <is>
          <t>PD-003</t>
        </is>
      </c>
      <c r="E483" s="12" t="inlineStr">
        <is>
          <t>Bordeaux Lace Midi</t>
        </is>
      </c>
      <c r="F483" s="12" t="inlineStr">
        <is>
          <t>Dresses</t>
        </is>
      </c>
      <c r="G483" s="21" t="inlineStr">
        <is>
          <t>S</t>
        </is>
      </c>
      <c r="H483" s="13" t="n">
        <v>2</v>
      </c>
      <c r="I483" s="14" t="n">
        <v>7800</v>
      </c>
      <c r="J483" s="14">
        <f>H483*I483</f>
        <v/>
      </c>
      <c r="K483" s="14" t="n">
        <v>2800</v>
      </c>
      <c r="L483" s="14">
        <f>H483*K483</f>
        <v/>
      </c>
      <c r="M483" s="14">
        <f>J483-L483</f>
        <v/>
      </c>
      <c r="N483" s="21" t="inlineStr">
        <is>
          <t>WH-HYD-01</t>
        </is>
      </c>
      <c r="O483" s="21" t="inlineStr">
        <is>
          <t>Mobile App</t>
        </is>
      </c>
    </row>
    <row r="484" ht="19" customHeight="1">
      <c r="A484" s="20" t="inlineStr">
        <is>
          <t>ORD-2025486</t>
        </is>
      </c>
      <c r="B484" s="20" t="inlineStr">
        <is>
          <t>2026-07-03</t>
        </is>
      </c>
      <c r="C484" s="20" t="inlineStr">
        <is>
          <t>PD-010-XS</t>
        </is>
      </c>
      <c r="D484" s="20" t="inlineStr">
        <is>
          <t>PD-010</t>
        </is>
      </c>
      <c r="E484" s="9" t="inlineStr">
        <is>
          <t>Noir Tailored Blazer</t>
        </is>
      </c>
      <c r="F484" s="9" t="inlineStr">
        <is>
          <t>Outerwear</t>
        </is>
      </c>
      <c r="G484" s="20" t="inlineStr">
        <is>
          <t>XS</t>
        </is>
      </c>
      <c r="H484" s="10" t="n">
        <v>4</v>
      </c>
      <c r="I484" s="11" t="n">
        <v>11000</v>
      </c>
      <c r="J484" s="11">
        <f>H484*I484</f>
        <v/>
      </c>
      <c r="K484" s="11" t="n">
        <v>4200</v>
      </c>
      <c r="L484" s="11">
        <f>H484*K484</f>
        <v/>
      </c>
      <c r="M484" s="11">
        <f>J484-L484</f>
        <v/>
      </c>
      <c r="N484" s="20" t="inlineStr">
        <is>
          <t>WH-BLR-02</t>
        </is>
      </c>
      <c r="O484" s="20" t="inlineStr">
        <is>
          <t>Retail Store</t>
        </is>
      </c>
    </row>
    <row r="485" ht="19" customHeight="1">
      <c r="A485" s="21" t="inlineStr">
        <is>
          <t>ORD-2025357</t>
        </is>
      </c>
      <c r="B485" s="21" t="inlineStr">
        <is>
          <t>2026-07-04</t>
        </is>
      </c>
      <c r="C485" s="21" t="inlineStr">
        <is>
          <t>PD-010-XL</t>
        </is>
      </c>
      <c r="D485" s="21" t="inlineStr">
        <is>
          <t>PD-010</t>
        </is>
      </c>
      <c r="E485" s="12" t="inlineStr">
        <is>
          <t>Noir Tailored Blazer</t>
        </is>
      </c>
      <c r="F485" s="12" t="inlineStr">
        <is>
          <t>Outerwear</t>
        </is>
      </c>
      <c r="G485" s="21" t="inlineStr">
        <is>
          <t>XL</t>
        </is>
      </c>
      <c r="H485" s="13" t="n">
        <v>5</v>
      </c>
      <c r="I485" s="14" t="n">
        <v>11000</v>
      </c>
      <c r="J485" s="14">
        <f>H485*I485</f>
        <v/>
      </c>
      <c r="K485" s="14" t="n">
        <v>4200</v>
      </c>
      <c r="L485" s="14">
        <f>H485*K485</f>
        <v/>
      </c>
      <c r="M485" s="14">
        <f>J485-L485</f>
        <v/>
      </c>
      <c r="N485" s="21" t="inlineStr">
        <is>
          <t>WH-HYD-01</t>
        </is>
      </c>
      <c r="O485" s="21" t="inlineStr">
        <is>
          <t>Mobile App</t>
        </is>
      </c>
    </row>
    <row r="486" ht="19" customHeight="1">
      <c r="A486" s="20" t="inlineStr">
        <is>
          <t>ORD-2025222</t>
        </is>
      </c>
      <c r="B486" s="20" t="inlineStr">
        <is>
          <t>2026-07-05</t>
        </is>
      </c>
      <c r="C486" s="20" t="inlineStr">
        <is>
          <t>PD-004-XL</t>
        </is>
      </c>
      <c r="D486" s="20" t="inlineStr">
        <is>
          <t>PD-004</t>
        </is>
      </c>
      <c r="E486" s="9" t="inlineStr">
        <is>
          <t>Rosé Off-Shoulder Mini</t>
        </is>
      </c>
      <c r="F486" s="9" t="inlineStr">
        <is>
          <t>Dresses</t>
        </is>
      </c>
      <c r="G486" s="20" t="inlineStr">
        <is>
          <t>XL</t>
        </is>
      </c>
      <c r="H486" s="10" t="n">
        <v>1</v>
      </c>
      <c r="I486" s="11" t="n">
        <v>4900</v>
      </c>
      <c r="J486" s="11">
        <f>H486*I486</f>
        <v/>
      </c>
      <c r="K486" s="11" t="n">
        <v>1800</v>
      </c>
      <c r="L486" s="11">
        <f>H486*K486</f>
        <v/>
      </c>
      <c r="M486" s="11">
        <f>J486-L486</f>
        <v/>
      </c>
      <c r="N486" s="20" t="inlineStr">
        <is>
          <t>WH-HYD-01</t>
        </is>
      </c>
      <c r="O486" s="20" t="inlineStr">
        <is>
          <t>Retail Store</t>
        </is>
      </c>
    </row>
    <row r="487" ht="19" customHeight="1">
      <c r="A487" s="21" t="inlineStr">
        <is>
          <t>ORD-2025296</t>
        </is>
      </c>
      <c r="B487" s="21" t="inlineStr">
        <is>
          <t>2026-07-05</t>
        </is>
      </c>
      <c r="C487" s="21" t="inlineStr">
        <is>
          <t>PD-004-M</t>
        </is>
      </c>
      <c r="D487" s="21" t="inlineStr">
        <is>
          <t>PD-004</t>
        </is>
      </c>
      <c r="E487" s="12" t="inlineStr">
        <is>
          <t>Rosé Off-Shoulder Mini</t>
        </is>
      </c>
      <c r="F487" s="12" t="inlineStr">
        <is>
          <t>Dresses</t>
        </is>
      </c>
      <c r="G487" s="21" t="inlineStr">
        <is>
          <t>M</t>
        </is>
      </c>
      <c r="H487" s="13" t="n">
        <v>1</v>
      </c>
      <c r="I487" s="14" t="n">
        <v>4900</v>
      </c>
      <c r="J487" s="14">
        <f>H487*I487</f>
        <v/>
      </c>
      <c r="K487" s="14" t="n">
        <v>1800</v>
      </c>
      <c r="L487" s="14">
        <f>H487*K487</f>
        <v/>
      </c>
      <c r="M487" s="14">
        <f>J487-L487</f>
        <v/>
      </c>
      <c r="N487" s="21" t="inlineStr">
        <is>
          <t>WH-HYD-01</t>
        </is>
      </c>
      <c r="O487" s="21" t="inlineStr">
        <is>
          <t>Retail Store</t>
        </is>
      </c>
    </row>
    <row r="488" ht="19" customHeight="1">
      <c r="A488" s="20" t="inlineStr">
        <is>
          <t>ORD-2025416</t>
        </is>
      </c>
      <c r="B488" s="20" t="inlineStr">
        <is>
          <t>2026-07-05</t>
        </is>
      </c>
      <c r="C488" s="20" t="inlineStr">
        <is>
          <t>PD-007-S</t>
        </is>
      </c>
      <c r="D488" s="20" t="inlineStr">
        <is>
          <t>PD-007</t>
        </is>
      </c>
      <c r="E488" s="9" t="inlineStr">
        <is>
          <t>Burgundy Trench Coat</t>
        </is>
      </c>
      <c r="F488" s="9" t="inlineStr">
        <is>
          <t>Outerwear</t>
        </is>
      </c>
      <c r="G488" s="20" t="inlineStr">
        <is>
          <t>S</t>
        </is>
      </c>
      <c r="H488" s="10" t="n">
        <v>2</v>
      </c>
      <c r="I488" s="11" t="n">
        <v>12500</v>
      </c>
      <c r="J488" s="11">
        <f>H488*I488</f>
        <v/>
      </c>
      <c r="K488" s="11" t="n">
        <v>4800</v>
      </c>
      <c r="L488" s="11">
        <f>H488*K488</f>
        <v/>
      </c>
      <c r="M488" s="11">
        <f>J488-L488</f>
        <v/>
      </c>
      <c r="N488" s="20" t="inlineStr">
        <is>
          <t>WH-HYD-01</t>
        </is>
      </c>
      <c r="O488" s="20" t="inlineStr">
        <is>
          <t>Online Store</t>
        </is>
      </c>
    </row>
    <row r="489" ht="19" customHeight="1">
      <c r="A489" s="21" t="inlineStr">
        <is>
          <t>ORD-2025390</t>
        </is>
      </c>
      <c r="B489" s="21" t="inlineStr">
        <is>
          <t>2026-07-06</t>
        </is>
      </c>
      <c r="C489" s="21" t="inlineStr">
        <is>
          <t>PD-007-XS</t>
        </is>
      </c>
      <c r="D489" s="21" t="inlineStr">
        <is>
          <t>PD-007</t>
        </is>
      </c>
      <c r="E489" s="12" t="inlineStr">
        <is>
          <t>Burgundy Trench Coat</t>
        </is>
      </c>
      <c r="F489" s="12" t="inlineStr">
        <is>
          <t>Outerwear</t>
        </is>
      </c>
      <c r="G489" s="21" t="inlineStr">
        <is>
          <t>XS</t>
        </is>
      </c>
      <c r="H489" s="13" t="n">
        <v>2</v>
      </c>
      <c r="I489" s="14" t="n">
        <v>12500</v>
      </c>
      <c r="J489" s="14">
        <f>H489*I489</f>
        <v/>
      </c>
      <c r="K489" s="14" t="n">
        <v>4800</v>
      </c>
      <c r="L489" s="14">
        <f>H489*K489</f>
        <v/>
      </c>
      <c r="M489" s="14">
        <f>J489-L489</f>
        <v/>
      </c>
      <c r="N489" s="21" t="inlineStr">
        <is>
          <t>WH-HYD-01</t>
        </is>
      </c>
      <c r="O489" s="21" t="inlineStr">
        <is>
          <t>Online Store</t>
        </is>
      </c>
    </row>
    <row r="490" ht="19" customHeight="1">
      <c r="A490" s="20" t="inlineStr">
        <is>
          <t>ORD-2025252</t>
        </is>
      </c>
      <c r="B490" s="20" t="inlineStr">
        <is>
          <t>2026-07-08</t>
        </is>
      </c>
      <c r="C490" s="20" t="inlineStr">
        <is>
          <t>PD-004-XL</t>
        </is>
      </c>
      <c r="D490" s="20" t="inlineStr">
        <is>
          <t>PD-004</t>
        </is>
      </c>
      <c r="E490" s="9" t="inlineStr">
        <is>
          <t>Rosé Off-Shoulder Mini</t>
        </is>
      </c>
      <c r="F490" s="9" t="inlineStr">
        <is>
          <t>Dresses</t>
        </is>
      </c>
      <c r="G490" s="20" t="inlineStr">
        <is>
          <t>XL</t>
        </is>
      </c>
      <c r="H490" s="10" t="n">
        <v>4</v>
      </c>
      <c r="I490" s="11" t="n">
        <v>4900</v>
      </c>
      <c r="J490" s="11">
        <f>H490*I490</f>
        <v/>
      </c>
      <c r="K490" s="11" t="n">
        <v>1800</v>
      </c>
      <c r="L490" s="11">
        <f>H490*K490</f>
        <v/>
      </c>
      <c r="M490" s="11">
        <f>J490-L490</f>
        <v/>
      </c>
      <c r="N490" s="20" t="inlineStr">
        <is>
          <t>WH-HYD-01</t>
        </is>
      </c>
      <c r="O490" s="20" t="inlineStr">
        <is>
          <t>Online Store</t>
        </is>
      </c>
    </row>
    <row r="491" ht="19" customHeight="1">
      <c r="A491" s="21" t="inlineStr">
        <is>
          <t>ORD-2025144</t>
        </is>
      </c>
      <c r="B491" s="21" t="inlineStr">
        <is>
          <t>2026-07-09</t>
        </is>
      </c>
      <c r="C491" s="21" t="inlineStr">
        <is>
          <t>PD-004-M</t>
        </is>
      </c>
      <c r="D491" s="21" t="inlineStr">
        <is>
          <t>PD-004</t>
        </is>
      </c>
      <c r="E491" s="12" t="inlineStr">
        <is>
          <t>Rosé Off-Shoulder Mini</t>
        </is>
      </c>
      <c r="F491" s="12" t="inlineStr">
        <is>
          <t>Dresses</t>
        </is>
      </c>
      <c r="G491" s="21" t="inlineStr">
        <is>
          <t>M</t>
        </is>
      </c>
      <c r="H491" s="13" t="n">
        <v>5</v>
      </c>
      <c r="I491" s="14" t="n">
        <v>4900</v>
      </c>
      <c r="J491" s="14">
        <f>H491*I491</f>
        <v/>
      </c>
      <c r="K491" s="14" t="n">
        <v>1800</v>
      </c>
      <c r="L491" s="14">
        <f>H491*K491</f>
        <v/>
      </c>
      <c r="M491" s="14">
        <f>J491-L491</f>
        <v/>
      </c>
      <c r="N491" s="21" t="inlineStr">
        <is>
          <t>WH-HYD-01</t>
        </is>
      </c>
      <c r="O491" s="21" t="inlineStr">
        <is>
          <t>Mobile App</t>
        </is>
      </c>
    </row>
    <row r="492" ht="19" customHeight="1">
      <c r="A492" s="20" t="inlineStr">
        <is>
          <t>ORD-2025174</t>
        </is>
      </c>
      <c r="B492" s="20" t="inlineStr">
        <is>
          <t>2026-07-09</t>
        </is>
      </c>
      <c r="C492" s="20" t="inlineStr">
        <is>
          <t>PD-006-XL</t>
        </is>
      </c>
      <c r="D492" s="20" t="inlineStr">
        <is>
          <t>PD-006</t>
        </is>
      </c>
      <c r="E492" s="9" t="inlineStr">
        <is>
          <t>Chiffon Crimson Blouse</t>
        </is>
      </c>
      <c r="F492" s="9" t="inlineStr">
        <is>
          <t>Tops</t>
        </is>
      </c>
      <c r="G492" s="20" t="inlineStr">
        <is>
          <t>XL</t>
        </is>
      </c>
      <c r="H492" s="10" t="n">
        <v>1</v>
      </c>
      <c r="I492" s="11" t="n">
        <v>3200</v>
      </c>
      <c r="J492" s="11">
        <f>H492*I492</f>
        <v/>
      </c>
      <c r="K492" s="11" t="n">
        <v>1100</v>
      </c>
      <c r="L492" s="11">
        <f>H492*K492</f>
        <v/>
      </c>
      <c r="M492" s="11">
        <f>J492-L492</f>
        <v/>
      </c>
      <c r="N492" s="20" t="inlineStr">
        <is>
          <t>WH-DEL-03</t>
        </is>
      </c>
      <c r="O492" s="20" t="inlineStr">
        <is>
          <t>Online Store</t>
        </is>
      </c>
    </row>
    <row r="493" ht="19" customHeight="1">
      <c r="A493" s="21" t="inlineStr">
        <is>
          <t>ORD-2025297</t>
        </is>
      </c>
      <c r="B493" s="21" t="inlineStr">
        <is>
          <t>2026-07-09</t>
        </is>
      </c>
      <c r="C493" s="21" t="inlineStr">
        <is>
          <t>PD-010-L</t>
        </is>
      </c>
      <c r="D493" s="21" t="inlineStr">
        <is>
          <t>PD-010</t>
        </is>
      </c>
      <c r="E493" s="12" t="inlineStr">
        <is>
          <t>Noir Tailored Blazer</t>
        </is>
      </c>
      <c r="F493" s="12" t="inlineStr">
        <is>
          <t>Outerwear</t>
        </is>
      </c>
      <c r="G493" s="21" t="inlineStr">
        <is>
          <t>L</t>
        </is>
      </c>
      <c r="H493" s="13" t="n">
        <v>3</v>
      </c>
      <c r="I493" s="14" t="n">
        <v>11000</v>
      </c>
      <c r="J493" s="14">
        <f>H493*I493</f>
        <v/>
      </c>
      <c r="K493" s="14" t="n">
        <v>4200</v>
      </c>
      <c r="L493" s="14">
        <f>H493*K493</f>
        <v/>
      </c>
      <c r="M493" s="14">
        <f>J493-L493</f>
        <v/>
      </c>
      <c r="N493" s="21" t="inlineStr">
        <is>
          <t>WH-BLR-02</t>
        </is>
      </c>
      <c r="O493" s="21" t="inlineStr">
        <is>
          <t>Retail Store</t>
        </is>
      </c>
    </row>
    <row r="494" ht="19" customHeight="1">
      <c r="A494" s="20" t="inlineStr">
        <is>
          <t>ORD-2025051</t>
        </is>
      </c>
      <c r="B494" s="20" t="inlineStr">
        <is>
          <t>2026-07-10</t>
        </is>
      </c>
      <c r="C494" s="20" t="inlineStr">
        <is>
          <t>PD-004-XL</t>
        </is>
      </c>
      <c r="D494" s="20" t="inlineStr">
        <is>
          <t>PD-004</t>
        </is>
      </c>
      <c r="E494" s="9" t="inlineStr">
        <is>
          <t>Rosé Off-Shoulder Mini</t>
        </is>
      </c>
      <c r="F494" s="9" t="inlineStr">
        <is>
          <t>Dresses</t>
        </is>
      </c>
      <c r="G494" s="20" t="inlineStr">
        <is>
          <t>XL</t>
        </is>
      </c>
      <c r="H494" s="10" t="n">
        <v>5</v>
      </c>
      <c r="I494" s="11" t="n">
        <v>4900</v>
      </c>
      <c r="J494" s="11">
        <f>H494*I494</f>
        <v/>
      </c>
      <c r="K494" s="11" t="n">
        <v>1800</v>
      </c>
      <c r="L494" s="11">
        <f>H494*K494</f>
        <v/>
      </c>
      <c r="M494" s="11">
        <f>J494-L494</f>
        <v/>
      </c>
      <c r="N494" s="20" t="inlineStr">
        <is>
          <t>WH-DEL-03</t>
        </is>
      </c>
      <c r="O494" s="20" t="inlineStr">
        <is>
          <t>Mobile App</t>
        </is>
      </c>
    </row>
    <row r="495" ht="19" customHeight="1">
      <c r="A495" s="21" t="inlineStr">
        <is>
          <t>ORD-2025415</t>
        </is>
      </c>
      <c r="B495" s="21" t="inlineStr">
        <is>
          <t>2026-07-10</t>
        </is>
      </c>
      <c r="C495" s="21" t="inlineStr">
        <is>
          <t>PD-006-L</t>
        </is>
      </c>
      <c r="D495" s="21" t="inlineStr">
        <is>
          <t>PD-006</t>
        </is>
      </c>
      <c r="E495" s="12" t="inlineStr">
        <is>
          <t>Chiffon Crimson Blouse</t>
        </is>
      </c>
      <c r="F495" s="12" t="inlineStr">
        <is>
          <t>Tops</t>
        </is>
      </c>
      <c r="G495" s="21" t="inlineStr">
        <is>
          <t>L</t>
        </is>
      </c>
      <c r="H495" s="13" t="n">
        <v>2</v>
      </c>
      <c r="I495" s="14" t="n">
        <v>3200</v>
      </c>
      <c r="J495" s="14">
        <f>H495*I495</f>
        <v/>
      </c>
      <c r="K495" s="14" t="n">
        <v>1100</v>
      </c>
      <c r="L495" s="14">
        <f>H495*K495</f>
        <v/>
      </c>
      <c r="M495" s="14">
        <f>J495-L495</f>
        <v/>
      </c>
      <c r="N495" s="21" t="inlineStr">
        <is>
          <t>WH-DEL-03</t>
        </is>
      </c>
      <c r="O495" s="21" t="inlineStr">
        <is>
          <t>Retail Store</t>
        </is>
      </c>
    </row>
    <row r="496" ht="19" customHeight="1">
      <c r="A496" s="20" t="inlineStr">
        <is>
          <t>ORD-2025373</t>
        </is>
      </c>
      <c r="B496" s="20" t="inlineStr">
        <is>
          <t>2026-07-11</t>
        </is>
      </c>
      <c r="C496" s="20" t="inlineStr">
        <is>
          <t>PD-007-XS</t>
        </is>
      </c>
      <c r="D496" s="20" t="inlineStr">
        <is>
          <t>PD-007</t>
        </is>
      </c>
      <c r="E496" s="9" t="inlineStr">
        <is>
          <t>Burgundy Trench Coat</t>
        </is>
      </c>
      <c r="F496" s="9" t="inlineStr">
        <is>
          <t>Outerwear</t>
        </is>
      </c>
      <c r="G496" s="20" t="inlineStr">
        <is>
          <t>XS</t>
        </is>
      </c>
      <c r="H496" s="10" t="n">
        <v>4</v>
      </c>
      <c r="I496" s="11" t="n">
        <v>12500</v>
      </c>
      <c r="J496" s="11">
        <f>H496*I496</f>
        <v/>
      </c>
      <c r="K496" s="11" t="n">
        <v>4800</v>
      </c>
      <c r="L496" s="11">
        <f>H496*K496</f>
        <v/>
      </c>
      <c r="M496" s="11">
        <f>J496-L496</f>
        <v/>
      </c>
      <c r="N496" s="20" t="inlineStr">
        <is>
          <t>WH-DEL-03</t>
        </is>
      </c>
      <c r="O496" s="20" t="inlineStr">
        <is>
          <t>Online Store</t>
        </is>
      </c>
    </row>
    <row r="497" ht="19" customHeight="1">
      <c r="A497" s="21" t="inlineStr">
        <is>
          <t>ORD-2025078</t>
        </is>
      </c>
      <c r="B497" s="21" t="inlineStr">
        <is>
          <t>2026-07-12</t>
        </is>
      </c>
      <c r="C497" s="21" t="inlineStr">
        <is>
          <t>PD-006-M</t>
        </is>
      </c>
      <c r="D497" s="21" t="inlineStr">
        <is>
          <t>PD-006</t>
        </is>
      </c>
      <c r="E497" s="12" t="inlineStr">
        <is>
          <t>Chiffon Crimson Blouse</t>
        </is>
      </c>
      <c r="F497" s="12" t="inlineStr">
        <is>
          <t>Tops</t>
        </is>
      </c>
      <c r="G497" s="21" t="inlineStr">
        <is>
          <t>M</t>
        </is>
      </c>
      <c r="H497" s="13" t="n">
        <v>1</v>
      </c>
      <c r="I497" s="14" t="n">
        <v>3200</v>
      </c>
      <c r="J497" s="14">
        <f>H497*I497</f>
        <v/>
      </c>
      <c r="K497" s="14" t="n">
        <v>1100</v>
      </c>
      <c r="L497" s="14">
        <f>H497*K497</f>
        <v/>
      </c>
      <c r="M497" s="14">
        <f>J497-L497</f>
        <v/>
      </c>
      <c r="N497" s="21" t="inlineStr">
        <is>
          <t>WH-DEL-03</t>
        </is>
      </c>
      <c r="O497" s="21" t="inlineStr">
        <is>
          <t>Mobile App</t>
        </is>
      </c>
    </row>
    <row r="498" ht="19" customHeight="1">
      <c r="A498" s="20" t="inlineStr">
        <is>
          <t>ORD-2025340</t>
        </is>
      </c>
      <c r="B498" s="20" t="inlineStr">
        <is>
          <t>2026-07-12</t>
        </is>
      </c>
      <c r="C498" s="20" t="inlineStr">
        <is>
          <t>PD-006-L</t>
        </is>
      </c>
      <c r="D498" s="20" t="inlineStr">
        <is>
          <t>PD-006</t>
        </is>
      </c>
      <c r="E498" s="9" t="inlineStr">
        <is>
          <t>Chiffon Crimson Blouse</t>
        </is>
      </c>
      <c r="F498" s="9" t="inlineStr">
        <is>
          <t>Tops</t>
        </is>
      </c>
      <c r="G498" s="20" t="inlineStr">
        <is>
          <t>L</t>
        </is>
      </c>
      <c r="H498" s="10" t="n">
        <v>4</v>
      </c>
      <c r="I498" s="11" t="n">
        <v>3200</v>
      </c>
      <c r="J498" s="11">
        <f>H498*I498</f>
        <v/>
      </c>
      <c r="K498" s="11" t="n">
        <v>1100</v>
      </c>
      <c r="L498" s="11">
        <f>H498*K498</f>
        <v/>
      </c>
      <c r="M498" s="11">
        <f>J498-L498</f>
        <v/>
      </c>
      <c r="N498" s="20" t="inlineStr">
        <is>
          <t>WH-DEL-03</t>
        </is>
      </c>
      <c r="O498" s="20" t="inlineStr">
        <is>
          <t>Mobile App</t>
        </is>
      </c>
    </row>
    <row r="499" ht="19" customHeight="1">
      <c r="A499" s="21" t="inlineStr">
        <is>
          <t>ORD-2025348</t>
        </is>
      </c>
      <c r="B499" s="21" t="inlineStr">
        <is>
          <t>2026-07-12</t>
        </is>
      </c>
      <c r="C499" s="21" t="inlineStr">
        <is>
          <t>PD-002-XS</t>
        </is>
      </c>
      <c r="D499" s="21" t="inlineStr">
        <is>
          <t>PD-002</t>
        </is>
      </c>
      <c r="E499" s="12" t="inlineStr">
        <is>
          <t>Merlot Satin Slip Dress</t>
        </is>
      </c>
      <c r="F499" s="12" t="inlineStr">
        <is>
          <t>Dresses</t>
        </is>
      </c>
      <c r="G499" s="21" t="inlineStr">
        <is>
          <t>XS</t>
        </is>
      </c>
      <c r="H499" s="13" t="n">
        <v>3</v>
      </c>
      <c r="I499" s="14" t="n">
        <v>6200</v>
      </c>
      <c r="J499" s="14">
        <f>H499*I499</f>
        <v/>
      </c>
      <c r="K499" s="14" t="n">
        <v>2100</v>
      </c>
      <c r="L499" s="14">
        <f>H499*K499</f>
        <v/>
      </c>
      <c r="M499" s="14">
        <f>J499-L499</f>
        <v/>
      </c>
      <c r="N499" s="21" t="inlineStr">
        <is>
          <t>WH-DEL-03</t>
        </is>
      </c>
      <c r="O499" s="21" t="inlineStr">
        <is>
          <t>Retail Store</t>
        </is>
      </c>
    </row>
    <row r="500" ht="19" customHeight="1">
      <c r="A500" s="20" t="inlineStr">
        <is>
          <t>ORD-2025419</t>
        </is>
      </c>
      <c r="B500" s="20" t="inlineStr">
        <is>
          <t>2026-07-13</t>
        </is>
      </c>
      <c r="C500" s="20" t="inlineStr">
        <is>
          <t>PD-001-XL</t>
        </is>
      </c>
      <c r="D500" s="20" t="inlineStr">
        <is>
          <t>PD-001</t>
        </is>
      </c>
      <c r="E500" s="9" t="inlineStr">
        <is>
          <t>Cabernet Velvet Gown</t>
        </is>
      </c>
      <c r="F500" s="9" t="inlineStr">
        <is>
          <t>Dresses</t>
        </is>
      </c>
      <c r="G500" s="20" t="inlineStr">
        <is>
          <t>XL</t>
        </is>
      </c>
      <c r="H500" s="10" t="n">
        <v>5</v>
      </c>
      <c r="I500" s="11" t="n">
        <v>8500</v>
      </c>
      <c r="J500" s="11">
        <f>H500*I500</f>
        <v/>
      </c>
      <c r="K500" s="11" t="n">
        <v>3200</v>
      </c>
      <c r="L500" s="11">
        <f>H500*K500</f>
        <v/>
      </c>
      <c r="M500" s="11">
        <f>J500-L500</f>
        <v/>
      </c>
      <c r="N500" s="20" t="inlineStr">
        <is>
          <t>WH-DEL-03</t>
        </is>
      </c>
      <c r="O500" s="20" t="inlineStr">
        <is>
          <t>Retail Store</t>
        </is>
      </c>
    </row>
    <row r="501" ht="19" customHeight="1">
      <c r="A501" s="21" t="inlineStr">
        <is>
          <t>ORD-2025431</t>
        </is>
      </c>
      <c r="B501" s="21" t="inlineStr">
        <is>
          <t>2026-07-13</t>
        </is>
      </c>
      <c r="C501" s="21" t="inlineStr">
        <is>
          <t>PD-003-XL</t>
        </is>
      </c>
      <c r="D501" s="21" t="inlineStr">
        <is>
          <t>PD-003</t>
        </is>
      </c>
      <c r="E501" s="12" t="inlineStr">
        <is>
          <t>Bordeaux Lace Midi</t>
        </is>
      </c>
      <c r="F501" s="12" t="inlineStr">
        <is>
          <t>Dresses</t>
        </is>
      </c>
      <c r="G501" s="21" t="inlineStr">
        <is>
          <t>XL</t>
        </is>
      </c>
      <c r="H501" s="13" t="n">
        <v>3</v>
      </c>
      <c r="I501" s="14" t="n">
        <v>7800</v>
      </c>
      <c r="J501" s="14">
        <f>H501*I501</f>
        <v/>
      </c>
      <c r="K501" s="14" t="n">
        <v>2800</v>
      </c>
      <c r="L501" s="14">
        <f>H501*K501</f>
        <v/>
      </c>
      <c r="M501" s="14">
        <f>J501-L501</f>
        <v/>
      </c>
      <c r="N501" s="21" t="inlineStr">
        <is>
          <t>WH-DEL-03</t>
        </is>
      </c>
      <c r="O501" s="21" t="inlineStr">
        <is>
          <t>Retail Store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3" customWidth="1" min="4" max="4"/>
    <col width="12" customWidth="1" min="5" max="5"/>
    <col width="18" customWidth="1" min="6" max="6"/>
    <col width="25" customWidth="1" min="7" max="7"/>
    <col width="23" customWidth="1" min="8" max="8"/>
    <col width="28" customWidth="1" min="9" max="9"/>
    <col width="19" customWidth="1" min="10" max="10"/>
    <col width="20" customWidth="1" min="11" max="11"/>
    <col width="31" customWidth="1" min="12" max="12"/>
    <col width="20" customWidth="1" min="13" max="13"/>
  </cols>
  <sheetData>
    <row r="1" ht="28" customHeight="1">
      <c r="A1" s="19" t="inlineStr">
        <is>
          <t>SKU</t>
        </is>
      </c>
      <c r="B1" s="19" t="inlineStr">
        <is>
          <t>Product ID</t>
        </is>
      </c>
      <c r="C1" s="19" t="inlineStr">
        <is>
          <t>Product Name</t>
        </is>
      </c>
      <c r="D1" s="19" t="inlineStr">
        <is>
          <t>Category</t>
        </is>
      </c>
      <c r="E1" s="19" t="inlineStr">
        <is>
          <t>Size</t>
        </is>
      </c>
      <c r="F1" s="19" t="inlineStr">
        <is>
          <t>Warehouse Code</t>
        </is>
      </c>
      <c r="G1" s="19" t="inlineStr">
        <is>
          <t>Fulfillment City</t>
        </is>
      </c>
      <c r="H1" s="19" t="inlineStr">
        <is>
          <t>Stock On Hand (Qty)</t>
        </is>
      </c>
      <c r="I1" s="19" t="inlineStr">
        <is>
          <t>Safety/Reorder Threshold</t>
        </is>
      </c>
      <c r="J1" s="19" t="inlineStr">
        <is>
          <t>Unit Cost (INR)</t>
        </is>
      </c>
      <c r="K1" s="19" t="inlineStr">
        <is>
          <t>Unit Price (INR)</t>
        </is>
      </c>
      <c r="L1" s="19" t="inlineStr">
        <is>
          <t>Total Asset Value (At Cost)</t>
        </is>
      </c>
      <c r="M1" s="19" t="inlineStr">
        <is>
          <t>Inventory Status</t>
        </is>
      </c>
    </row>
    <row r="2" ht="19" customHeight="1">
      <c r="A2" s="20" t="inlineStr">
        <is>
          <t>PD-001-XS</t>
        </is>
      </c>
      <c r="B2" s="20" t="inlineStr">
        <is>
          <t>PD-001</t>
        </is>
      </c>
      <c r="C2" s="9" t="inlineStr">
        <is>
          <t>Cabernet Velvet Gown</t>
        </is>
      </c>
      <c r="D2" s="9" t="inlineStr">
        <is>
          <t>Dresses</t>
        </is>
      </c>
      <c r="E2" s="20" t="inlineStr">
        <is>
          <t>XS</t>
        </is>
      </c>
      <c r="F2" s="20" t="inlineStr">
        <is>
          <t>WH-HYD-01</t>
        </is>
      </c>
      <c r="G2" s="9" t="inlineStr">
        <is>
          <t>Hyderabad (Telangana)</t>
        </is>
      </c>
      <c r="H2" s="10" t="n">
        <v>96</v>
      </c>
      <c r="I2" s="10" t="n">
        <v>30</v>
      </c>
      <c r="J2" s="11" t="n">
        <v>3200</v>
      </c>
      <c r="K2" s="11" t="n">
        <v>8500</v>
      </c>
      <c r="L2" s="11">
        <f>H2*J2</f>
        <v/>
      </c>
      <c r="M2" s="20">
        <f>IF(H2&lt;=I2, "REORDER NOW", "HEALTHY")</f>
        <v/>
      </c>
    </row>
    <row r="3" ht="19" customHeight="1">
      <c r="A3" s="21" t="inlineStr">
        <is>
          <t>PD-001-XS</t>
        </is>
      </c>
      <c r="B3" s="21" t="inlineStr">
        <is>
          <t>PD-001</t>
        </is>
      </c>
      <c r="C3" s="12" t="inlineStr">
        <is>
          <t>Cabernet Velvet Gown</t>
        </is>
      </c>
      <c r="D3" s="12" t="inlineStr">
        <is>
          <t>Dresses</t>
        </is>
      </c>
      <c r="E3" s="21" t="inlineStr">
        <is>
          <t>XS</t>
        </is>
      </c>
      <c r="F3" s="21" t="inlineStr">
        <is>
          <t>WH-BLR-02</t>
        </is>
      </c>
      <c r="G3" s="12" t="inlineStr">
        <is>
          <t>Bengaluru (Karnataka)</t>
        </is>
      </c>
      <c r="H3" s="13" t="n">
        <v>29</v>
      </c>
      <c r="I3" s="13" t="n">
        <v>30</v>
      </c>
      <c r="J3" s="14" t="n">
        <v>3200</v>
      </c>
      <c r="K3" s="14" t="n">
        <v>8500</v>
      </c>
      <c r="L3" s="14">
        <f>H3*J3</f>
        <v/>
      </c>
      <c r="M3" s="21">
        <f>IF(H3&lt;=I3, "REORDER NOW", "HEALTHY")</f>
        <v/>
      </c>
    </row>
    <row r="4" ht="19" customHeight="1">
      <c r="A4" s="20" t="inlineStr">
        <is>
          <t>PD-001-XS</t>
        </is>
      </c>
      <c r="B4" s="20" t="inlineStr">
        <is>
          <t>PD-001</t>
        </is>
      </c>
      <c r="C4" s="9" t="inlineStr">
        <is>
          <t>Cabernet Velvet Gown</t>
        </is>
      </c>
      <c r="D4" s="9" t="inlineStr">
        <is>
          <t>Dresses</t>
        </is>
      </c>
      <c r="E4" s="20" t="inlineStr">
        <is>
          <t>XS</t>
        </is>
      </c>
      <c r="F4" s="20" t="inlineStr">
        <is>
          <t>WH-DEL-03</t>
        </is>
      </c>
      <c r="G4" s="9" t="inlineStr">
        <is>
          <t>Delhi NCR (Haryana)</t>
        </is>
      </c>
      <c r="H4" s="10" t="n">
        <v>18</v>
      </c>
      <c r="I4" s="10" t="n">
        <v>30</v>
      </c>
      <c r="J4" s="11" t="n">
        <v>3200</v>
      </c>
      <c r="K4" s="11" t="n">
        <v>8500</v>
      </c>
      <c r="L4" s="11">
        <f>H4*J4</f>
        <v/>
      </c>
      <c r="M4" s="20">
        <f>IF(H4&lt;=I4, "REORDER NOW", "HEALTHY")</f>
        <v/>
      </c>
    </row>
    <row r="5" ht="19" customHeight="1">
      <c r="A5" s="21" t="inlineStr">
        <is>
          <t>PD-001-S</t>
        </is>
      </c>
      <c r="B5" s="21" t="inlineStr">
        <is>
          <t>PD-001</t>
        </is>
      </c>
      <c r="C5" s="12" t="inlineStr">
        <is>
          <t>Cabernet Velvet Gown</t>
        </is>
      </c>
      <c r="D5" s="12" t="inlineStr">
        <is>
          <t>Dresses</t>
        </is>
      </c>
      <c r="E5" s="21" t="inlineStr">
        <is>
          <t>S</t>
        </is>
      </c>
      <c r="F5" s="21" t="inlineStr">
        <is>
          <t>WH-HYD-01</t>
        </is>
      </c>
      <c r="G5" s="12" t="inlineStr">
        <is>
          <t>Hyderabad (Telangana)</t>
        </is>
      </c>
      <c r="H5" s="13" t="n">
        <v>109</v>
      </c>
      <c r="I5" s="13" t="n">
        <v>30</v>
      </c>
      <c r="J5" s="14" t="n">
        <v>3200</v>
      </c>
      <c r="K5" s="14" t="n">
        <v>8500</v>
      </c>
      <c r="L5" s="14">
        <f>H5*J5</f>
        <v/>
      </c>
      <c r="M5" s="21">
        <f>IF(H5&lt;=I5, "REORDER NOW", "HEALTHY")</f>
        <v/>
      </c>
    </row>
    <row r="6" ht="19" customHeight="1">
      <c r="A6" s="20" t="inlineStr">
        <is>
          <t>PD-001-S</t>
        </is>
      </c>
      <c r="B6" s="20" t="inlineStr">
        <is>
          <t>PD-001</t>
        </is>
      </c>
      <c r="C6" s="9" t="inlineStr">
        <is>
          <t>Cabernet Velvet Gown</t>
        </is>
      </c>
      <c r="D6" s="9" t="inlineStr">
        <is>
          <t>Dresses</t>
        </is>
      </c>
      <c r="E6" s="20" t="inlineStr">
        <is>
          <t>S</t>
        </is>
      </c>
      <c r="F6" s="20" t="inlineStr">
        <is>
          <t>WH-BLR-02</t>
        </is>
      </c>
      <c r="G6" s="9" t="inlineStr">
        <is>
          <t>Bengaluru (Karnataka)</t>
        </is>
      </c>
      <c r="H6" s="10" t="n">
        <v>50</v>
      </c>
      <c r="I6" s="10" t="n">
        <v>30</v>
      </c>
      <c r="J6" s="11" t="n">
        <v>3200</v>
      </c>
      <c r="K6" s="11" t="n">
        <v>8500</v>
      </c>
      <c r="L6" s="11">
        <f>H6*J6</f>
        <v/>
      </c>
      <c r="M6" s="20">
        <f>IF(H6&lt;=I6, "REORDER NOW", "HEALTHY")</f>
        <v/>
      </c>
    </row>
    <row r="7" ht="19" customHeight="1">
      <c r="A7" s="21" t="inlineStr">
        <is>
          <t>PD-001-S</t>
        </is>
      </c>
      <c r="B7" s="21" t="inlineStr">
        <is>
          <t>PD-001</t>
        </is>
      </c>
      <c r="C7" s="12" t="inlineStr">
        <is>
          <t>Cabernet Velvet Gown</t>
        </is>
      </c>
      <c r="D7" s="12" t="inlineStr">
        <is>
          <t>Dresses</t>
        </is>
      </c>
      <c r="E7" s="21" t="inlineStr">
        <is>
          <t>S</t>
        </is>
      </c>
      <c r="F7" s="21" t="inlineStr">
        <is>
          <t>WH-DEL-03</t>
        </is>
      </c>
      <c r="G7" s="12" t="inlineStr">
        <is>
          <t>Delhi NCR (Haryana)</t>
        </is>
      </c>
      <c r="H7" s="13" t="n">
        <v>46</v>
      </c>
      <c r="I7" s="13" t="n">
        <v>30</v>
      </c>
      <c r="J7" s="14" t="n">
        <v>3200</v>
      </c>
      <c r="K7" s="14" t="n">
        <v>8500</v>
      </c>
      <c r="L7" s="14">
        <f>H7*J7</f>
        <v/>
      </c>
      <c r="M7" s="21">
        <f>IF(H7&lt;=I7, "REORDER NOW", "HEALTHY")</f>
        <v/>
      </c>
    </row>
    <row r="8" ht="19" customHeight="1">
      <c r="A8" s="20" t="inlineStr">
        <is>
          <t>PD-001-M</t>
        </is>
      </c>
      <c r="B8" s="20" t="inlineStr">
        <is>
          <t>PD-001</t>
        </is>
      </c>
      <c r="C8" s="9" t="inlineStr">
        <is>
          <t>Cabernet Velvet Gown</t>
        </is>
      </c>
      <c r="D8" s="9" t="inlineStr">
        <is>
          <t>Dresses</t>
        </is>
      </c>
      <c r="E8" s="20" t="inlineStr">
        <is>
          <t>M</t>
        </is>
      </c>
      <c r="F8" s="20" t="inlineStr">
        <is>
          <t>WH-HYD-01</t>
        </is>
      </c>
      <c r="G8" s="9" t="inlineStr">
        <is>
          <t>Hyderabad (Telangana)</t>
        </is>
      </c>
      <c r="H8" s="10" t="n">
        <v>43</v>
      </c>
      <c r="I8" s="10" t="n">
        <v>30</v>
      </c>
      <c r="J8" s="11" t="n">
        <v>3200</v>
      </c>
      <c r="K8" s="11" t="n">
        <v>8500</v>
      </c>
      <c r="L8" s="11">
        <f>H8*J8</f>
        <v/>
      </c>
      <c r="M8" s="20">
        <f>IF(H8&lt;=I8, "REORDER NOW", "HEALTHY")</f>
        <v/>
      </c>
    </row>
    <row r="9" ht="19" customHeight="1">
      <c r="A9" s="21" t="inlineStr">
        <is>
          <t>PD-001-M</t>
        </is>
      </c>
      <c r="B9" s="21" t="inlineStr">
        <is>
          <t>PD-001</t>
        </is>
      </c>
      <c r="C9" s="12" t="inlineStr">
        <is>
          <t>Cabernet Velvet Gown</t>
        </is>
      </c>
      <c r="D9" s="12" t="inlineStr">
        <is>
          <t>Dresses</t>
        </is>
      </c>
      <c r="E9" s="21" t="inlineStr">
        <is>
          <t>M</t>
        </is>
      </c>
      <c r="F9" s="21" t="inlineStr">
        <is>
          <t>WH-BLR-02</t>
        </is>
      </c>
      <c r="G9" s="12" t="inlineStr">
        <is>
          <t>Bengaluru (Karnataka)</t>
        </is>
      </c>
      <c r="H9" s="13" t="n">
        <v>32</v>
      </c>
      <c r="I9" s="13" t="n">
        <v>30</v>
      </c>
      <c r="J9" s="14" t="n">
        <v>3200</v>
      </c>
      <c r="K9" s="14" t="n">
        <v>8500</v>
      </c>
      <c r="L9" s="14">
        <f>H9*J9</f>
        <v/>
      </c>
      <c r="M9" s="21">
        <f>IF(H9&lt;=I9, "REORDER NOW", "HEALTHY")</f>
        <v/>
      </c>
    </row>
    <row r="10" ht="19" customHeight="1">
      <c r="A10" s="20" t="inlineStr">
        <is>
          <t>PD-001-M</t>
        </is>
      </c>
      <c r="B10" s="20" t="inlineStr">
        <is>
          <t>PD-001</t>
        </is>
      </c>
      <c r="C10" s="9" t="inlineStr">
        <is>
          <t>Cabernet Velvet Gown</t>
        </is>
      </c>
      <c r="D10" s="9" t="inlineStr">
        <is>
          <t>Dresses</t>
        </is>
      </c>
      <c r="E10" s="20" t="inlineStr">
        <is>
          <t>M</t>
        </is>
      </c>
      <c r="F10" s="20" t="inlineStr">
        <is>
          <t>WH-DEL-03</t>
        </is>
      </c>
      <c r="G10" s="9" t="inlineStr">
        <is>
          <t>Delhi NCR (Haryana)</t>
        </is>
      </c>
      <c r="H10" s="10" t="n">
        <v>109</v>
      </c>
      <c r="I10" s="10" t="n">
        <v>30</v>
      </c>
      <c r="J10" s="11" t="n">
        <v>3200</v>
      </c>
      <c r="K10" s="11" t="n">
        <v>8500</v>
      </c>
      <c r="L10" s="11">
        <f>H10*J10</f>
        <v/>
      </c>
      <c r="M10" s="20">
        <f>IF(H10&lt;=I10, "REORDER NOW", "HEALTHY")</f>
        <v/>
      </c>
    </row>
    <row r="11" ht="19" customHeight="1">
      <c r="A11" s="21" t="inlineStr">
        <is>
          <t>PD-001-L</t>
        </is>
      </c>
      <c r="B11" s="21" t="inlineStr">
        <is>
          <t>PD-001</t>
        </is>
      </c>
      <c r="C11" s="12" t="inlineStr">
        <is>
          <t>Cabernet Velvet Gown</t>
        </is>
      </c>
      <c r="D11" s="12" t="inlineStr">
        <is>
          <t>Dresses</t>
        </is>
      </c>
      <c r="E11" s="21" t="inlineStr">
        <is>
          <t>L</t>
        </is>
      </c>
      <c r="F11" s="21" t="inlineStr">
        <is>
          <t>WH-HYD-01</t>
        </is>
      </c>
      <c r="G11" s="12" t="inlineStr">
        <is>
          <t>Hyderabad (Telangana)</t>
        </is>
      </c>
      <c r="H11" s="13" t="n">
        <v>28</v>
      </c>
      <c r="I11" s="13" t="n">
        <v>30</v>
      </c>
      <c r="J11" s="14" t="n">
        <v>3200</v>
      </c>
      <c r="K11" s="14" t="n">
        <v>8500</v>
      </c>
      <c r="L11" s="14">
        <f>H11*J11</f>
        <v/>
      </c>
      <c r="M11" s="21">
        <f>IF(H11&lt;=I11, "REORDER NOW", "HEALTHY")</f>
        <v/>
      </c>
    </row>
    <row r="12" ht="19" customHeight="1">
      <c r="A12" s="20" t="inlineStr">
        <is>
          <t>PD-001-L</t>
        </is>
      </c>
      <c r="B12" s="20" t="inlineStr">
        <is>
          <t>PD-001</t>
        </is>
      </c>
      <c r="C12" s="9" t="inlineStr">
        <is>
          <t>Cabernet Velvet Gown</t>
        </is>
      </c>
      <c r="D12" s="9" t="inlineStr">
        <is>
          <t>Dresses</t>
        </is>
      </c>
      <c r="E12" s="20" t="inlineStr">
        <is>
          <t>L</t>
        </is>
      </c>
      <c r="F12" s="20" t="inlineStr">
        <is>
          <t>WH-BLR-02</t>
        </is>
      </c>
      <c r="G12" s="9" t="inlineStr">
        <is>
          <t>Bengaluru (Karnataka)</t>
        </is>
      </c>
      <c r="H12" s="10" t="n">
        <v>101</v>
      </c>
      <c r="I12" s="10" t="n">
        <v>30</v>
      </c>
      <c r="J12" s="11" t="n">
        <v>3200</v>
      </c>
      <c r="K12" s="11" t="n">
        <v>8500</v>
      </c>
      <c r="L12" s="11">
        <f>H12*J12</f>
        <v/>
      </c>
      <c r="M12" s="20">
        <f>IF(H12&lt;=I12, "REORDER NOW", "HEALTHY")</f>
        <v/>
      </c>
    </row>
    <row r="13" ht="19" customHeight="1">
      <c r="A13" s="21" t="inlineStr">
        <is>
          <t>PD-001-L</t>
        </is>
      </c>
      <c r="B13" s="21" t="inlineStr">
        <is>
          <t>PD-001</t>
        </is>
      </c>
      <c r="C13" s="12" t="inlineStr">
        <is>
          <t>Cabernet Velvet Gown</t>
        </is>
      </c>
      <c r="D13" s="12" t="inlineStr">
        <is>
          <t>Dresses</t>
        </is>
      </c>
      <c r="E13" s="21" t="inlineStr">
        <is>
          <t>L</t>
        </is>
      </c>
      <c r="F13" s="21" t="inlineStr">
        <is>
          <t>WH-DEL-03</t>
        </is>
      </c>
      <c r="G13" s="12" t="inlineStr">
        <is>
          <t>Delhi NCR (Haryana)</t>
        </is>
      </c>
      <c r="H13" s="13" t="n">
        <v>109</v>
      </c>
      <c r="I13" s="13" t="n">
        <v>30</v>
      </c>
      <c r="J13" s="14" t="n">
        <v>3200</v>
      </c>
      <c r="K13" s="14" t="n">
        <v>8500</v>
      </c>
      <c r="L13" s="14">
        <f>H13*J13</f>
        <v/>
      </c>
      <c r="M13" s="21">
        <f>IF(H13&lt;=I13, "REORDER NOW", "HEALTHY")</f>
        <v/>
      </c>
    </row>
    <row r="14" ht="19" customHeight="1">
      <c r="A14" s="20" t="inlineStr">
        <is>
          <t>PD-001-XL</t>
        </is>
      </c>
      <c r="B14" s="20" t="inlineStr">
        <is>
          <t>PD-001</t>
        </is>
      </c>
      <c r="C14" s="9" t="inlineStr">
        <is>
          <t>Cabernet Velvet Gown</t>
        </is>
      </c>
      <c r="D14" s="9" t="inlineStr">
        <is>
          <t>Dresses</t>
        </is>
      </c>
      <c r="E14" s="20" t="inlineStr">
        <is>
          <t>XL</t>
        </is>
      </c>
      <c r="F14" s="20" t="inlineStr">
        <is>
          <t>WH-HYD-01</t>
        </is>
      </c>
      <c r="G14" s="9" t="inlineStr">
        <is>
          <t>Hyderabad (Telangana)</t>
        </is>
      </c>
      <c r="H14" s="10" t="n">
        <v>84</v>
      </c>
      <c r="I14" s="10" t="n">
        <v>30</v>
      </c>
      <c r="J14" s="11" t="n">
        <v>3200</v>
      </c>
      <c r="K14" s="11" t="n">
        <v>8500</v>
      </c>
      <c r="L14" s="11">
        <f>H14*J14</f>
        <v/>
      </c>
      <c r="M14" s="20">
        <f>IF(H14&lt;=I14, "REORDER NOW", "HEALTHY")</f>
        <v/>
      </c>
    </row>
    <row r="15" ht="19" customHeight="1">
      <c r="A15" s="21" t="inlineStr">
        <is>
          <t>PD-001-XL</t>
        </is>
      </c>
      <c r="B15" s="21" t="inlineStr">
        <is>
          <t>PD-001</t>
        </is>
      </c>
      <c r="C15" s="12" t="inlineStr">
        <is>
          <t>Cabernet Velvet Gown</t>
        </is>
      </c>
      <c r="D15" s="12" t="inlineStr">
        <is>
          <t>Dresses</t>
        </is>
      </c>
      <c r="E15" s="21" t="inlineStr">
        <is>
          <t>XL</t>
        </is>
      </c>
      <c r="F15" s="21" t="inlineStr">
        <is>
          <t>WH-BLR-02</t>
        </is>
      </c>
      <c r="G15" s="12" t="inlineStr">
        <is>
          <t>Bengaluru (Karnataka)</t>
        </is>
      </c>
      <c r="H15" s="13" t="n">
        <v>26</v>
      </c>
      <c r="I15" s="13" t="n">
        <v>30</v>
      </c>
      <c r="J15" s="14" t="n">
        <v>3200</v>
      </c>
      <c r="K15" s="14" t="n">
        <v>8500</v>
      </c>
      <c r="L15" s="14">
        <f>H15*J15</f>
        <v/>
      </c>
      <c r="M15" s="21">
        <f>IF(H15&lt;=I15, "REORDER NOW", "HEALTHY")</f>
        <v/>
      </c>
    </row>
    <row r="16" ht="19" customHeight="1">
      <c r="A16" s="20" t="inlineStr">
        <is>
          <t>PD-001-XL</t>
        </is>
      </c>
      <c r="B16" s="20" t="inlineStr">
        <is>
          <t>PD-001</t>
        </is>
      </c>
      <c r="C16" s="9" t="inlineStr">
        <is>
          <t>Cabernet Velvet Gown</t>
        </is>
      </c>
      <c r="D16" s="9" t="inlineStr">
        <is>
          <t>Dresses</t>
        </is>
      </c>
      <c r="E16" s="20" t="inlineStr">
        <is>
          <t>XL</t>
        </is>
      </c>
      <c r="F16" s="20" t="inlineStr">
        <is>
          <t>WH-DEL-03</t>
        </is>
      </c>
      <c r="G16" s="9" t="inlineStr">
        <is>
          <t>Delhi NCR (Haryana)</t>
        </is>
      </c>
      <c r="H16" s="10" t="n">
        <v>90</v>
      </c>
      <c r="I16" s="10" t="n">
        <v>30</v>
      </c>
      <c r="J16" s="11" t="n">
        <v>3200</v>
      </c>
      <c r="K16" s="11" t="n">
        <v>8500</v>
      </c>
      <c r="L16" s="11">
        <f>H16*J16</f>
        <v/>
      </c>
      <c r="M16" s="20">
        <f>IF(H16&lt;=I16, "REORDER NOW", "HEALTHY")</f>
        <v/>
      </c>
    </row>
    <row r="17" ht="19" customHeight="1">
      <c r="A17" s="21" t="inlineStr">
        <is>
          <t>PD-002-XS</t>
        </is>
      </c>
      <c r="B17" s="21" t="inlineStr">
        <is>
          <t>PD-002</t>
        </is>
      </c>
      <c r="C17" s="12" t="inlineStr">
        <is>
          <t>Merlot Satin Slip Dress</t>
        </is>
      </c>
      <c r="D17" s="12" t="inlineStr">
        <is>
          <t>Dresses</t>
        </is>
      </c>
      <c r="E17" s="21" t="inlineStr">
        <is>
          <t>XS</t>
        </is>
      </c>
      <c r="F17" s="21" t="inlineStr">
        <is>
          <t>WH-HYD-01</t>
        </is>
      </c>
      <c r="G17" s="12" t="inlineStr">
        <is>
          <t>Hyderabad (Telangana)</t>
        </is>
      </c>
      <c r="H17" s="13" t="n">
        <v>69</v>
      </c>
      <c r="I17" s="13" t="n">
        <v>30</v>
      </c>
      <c r="J17" s="14" t="n">
        <v>2100</v>
      </c>
      <c r="K17" s="14" t="n">
        <v>6200</v>
      </c>
      <c r="L17" s="14">
        <f>H17*J17</f>
        <v/>
      </c>
      <c r="M17" s="21">
        <f>IF(H17&lt;=I17, "REORDER NOW", "HEALTHY")</f>
        <v/>
      </c>
    </row>
    <row r="18" ht="19" customHeight="1">
      <c r="A18" s="20" t="inlineStr">
        <is>
          <t>PD-002-XS</t>
        </is>
      </c>
      <c r="B18" s="20" t="inlineStr">
        <is>
          <t>PD-002</t>
        </is>
      </c>
      <c r="C18" s="9" t="inlineStr">
        <is>
          <t>Merlot Satin Slip Dress</t>
        </is>
      </c>
      <c r="D18" s="9" t="inlineStr">
        <is>
          <t>Dresses</t>
        </is>
      </c>
      <c r="E18" s="20" t="inlineStr">
        <is>
          <t>XS</t>
        </is>
      </c>
      <c r="F18" s="20" t="inlineStr">
        <is>
          <t>WH-BLR-02</t>
        </is>
      </c>
      <c r="G18" s="9" t="inlineStr">
        <is>
          <t>Bengaluru (Karnataka)</t>
        </is>
      </c>
      <c r="H18" s="10" t="n">
        <v>19</v>
      </c>
      <c r="I18" s="10" t="n">
        <v>30</v>
      </c>
      <c r="J18" s="11" t="n">
        <v>2100</v>
      </c>
      <c r="K18" s="11" t="n">
        <v>6200</v>
      </c>
      <c r="L18" s="11">
        <f>H18*J18</f>
        <v/>
      </c>
      <c r="M18" s="20">
        <f>IF(H18&lt;=I18, "REORDER NOW", "HEALTHY")</f>
        <v/>
      </c>
    </row>
    <row r="19" ht="19" customHeight="1">
      <c r="A19" s="21" t="inlineStr">
        <is>
          <t>PD-002-XS</t>
        </is>
      </c>
      <c r="B19" s="21" t="inlineStr">
        <is>
          <t>PD-002</t>
        </is>
      </c>
      <c r="C19" s="12" t="inlineStr">
        <is>
          <t>Merlot Satin Slip Dress</t>
        </is>
      </c>
      <c r="D19" s="12" t="inlineStr">
        <is>
          <t>Dresses</t>
        </is>
      </c>
      <c r="E19" s="21" t="inlineStr">
        <is>
          <t>XS</t>
        </is>
      </c>
      <c r="F19" s="21" t="inlineStr">
        <is>
          <t>WH-DEL-03</t>
        </is>
      </c>
      <c r="G19" s="12" t="inlineStr">
        <is>
          <t>Delhi NCR (Haryana)</t>
        </is>
      </c>
      <c r="H19" s="13" t="n">
        <v>18</v>
      </c>
      <c r="I19" s="13" t="n">
        <v>30</v>
      </c>
      <c r="J19" s="14" t="n">
        <v>2100</v>
      </c>
      <c r="K19" s="14" t="n">
        <v>6200</v>
      </c>
      <c r="L19" s="14">
        <f>H19*J19</f>
        <v/>
      </c>
      <c r="M19" s="21">
        <f>IF(H19&lt;=I19, "REORDER NOW", "HEALTHY")</f>
        <v/>
      </c>
    </row>
    <row r="20" ht="19" customHeight="1">
      <c r="A20" s="20" t="inlineStr">
        <is>
          <t>PD-002-S</t>
        </is>
      </c>
      <c r="B20" s="20" t="inlineStr">
        <is>
          <t>PD-002</t>
        </is>
      </c>
      <c r="C20" s="9" t="inlineStr">
        <is>
          <t>Merlot Satin Slip Dress</t>
        </is>
      </c>
      <c r="D20" s="9" t="inlineStr">
        <is>
          <t>Dresses</t>
        </is>
      </c>
      <c r="E20" s="20" t="inlineStr">
        <is>
          <t>S</t>
        </is>
      </c>
      <c r="F20" s="20" t="inlineStr">
        <is>
          <t>WH-HYD-01</t>
        </is>
      </c>
      <c r="G20" s="9" t="inlineStr">
        <is>
          <t>Hyderabad (Telangana)</t>
        </is>
      </c>
      <c r="H20" s="10" t="n">
        <v>26</v>
      </c>
      <c r="I20" s="10" t="n">
        <v>30</v>
      </c>
      <c r="J20" s="11" t="n">
        <v>2100</v>
      </c>
      <c r="K20" s="11" t="n">
        <v>6200</v>
      </c>
      <c r="L20" s="11">
        <f>H20*J20</f>
        <v/>
      </c>
      <c r="M20" s="20">
        <f>IF(H20&lt;=I20, "REORDER NOW", "HEALTHY")</f>
        <v/>
      </c>
    </row>
    <row r="21" ht="19" customHeight="1">
      <c r="A21" s="21" t="inlineStr">
        <is>
          <t>PD-002-S</t>
        </is>
      </c>
      <c r="B21" s="21" t="inlineStr">
        <is>
          <t>PD-002</t>
        </is>
      </c>
      <c r="C21" s="12" t="inlineStr">
        <is>
          <t>Merlot Satin Slip Dress</t>
        </is>
      </c>
      <c r="D21" s="12" t="inlineStr">
        <is>
          <t>Dresses</t>
        </is>
      </c>
      <c r="E21" s="21" t="inlineStr">
        <is>
          <t>S</t>
        </is>
      </c>
      <c r="F21" s="21" t="inlineStr">
        <is>
          <t>WH-BLR-02</t>
        </is>
      </c>
      <c r="G21" s="12" t="inlineStr">
        <is>
          <t>Bengaluru (Karnataka)</t>
        </is>
      </c>
      <c r="H21" s="13" t="n">
        <v>42</v>
      </c>
      <c r="I21" s="13" t="n">
        <v>30</v>
      </c>
      <c r="J21" s="14" t="n">
        <v>2100</v>
      </c>
      <c r="K21" s="14" t="n">
        <v>6200</v>
      </c>
      <c r="L21" s="14">
        <f>H21*J21</f>
        <v/>
      </c>
      <c r="M21" s="21">
        <f>IF(H21&lt;=I21, "REORDER NOW", "HEALTHY")</f>
        <v/>
      </c>
    </row>
    <row r="22" ht="19" customHeight="1">
      <c r="A22" s="20" t="inlineStr">
        <is>
          <t>PD-002-S</t>
        </is>
      </c>
      <c r="B22" s="20" t="inlineStr">
        <is>
          <t>PD-002</t>
        </is>
      </c>
      <c r="C22" s="9" t="inlineStr">
        <is>
          <t>Merlot Satin Slip Dress</t>
        </is>
      </c>
      <c r="D22" s="9" t="inlineStr">
        <is>
          <t>Dresses</t>
        </is>
      </c>
      <c r="E22" s="20" t="inlineStr">
        <is>
          <t>S</t>
        </is>
      </c>
      <c r="F22" s="20" t="inlineStr">
        <is>
          <t>WH-DEL-03</t>
        </is>
      </c>
      <c r="G22" s="9" t="inlineStr">
        <is>
          <t>Delhi NCR (Haryana)</t>
        </is>
      </c>
      <c r="H22" s="10" t="n">
        <v>44</v>
      </c>
      <c r="I22" s="10" t="n">
        <v>30</v>
      </c>
      <c r="J22" s="11" t="n">
        <v>2100</v>
      </c>
      <c r="K22" s="11" t="n">
        <v>6200</v>
      </c>
      <c r="L22" s="11">
        <f>H22*J22</f>
        <v/>
      </c>
      <c r="M22" s="20">
        <f>IF(H22&lt;=I22, "REORDER NOW", "HEALTHY")</f>
        <v/>
      </c>
    </row>
    <row r="23" ht="19" customHeight="1">
      <c r="A23" s="21" t="inlineStr">
        <is>
          <t>PD-002-M</t>
        </is>
      </c>
      <c r="B23" s="21" t="inlineStr">
        <is>
          <t>PD-002</t>
        </is>
      </c>
      <c r="C23" s="12" t="inlineStr">
        <is>
          <t>Merlot Satin Slip Dress</t>
        </is>
      </c>
      <c r="D23" s="12" t="inlineStr">
        <is>
          <t>Dresses</t>
        </is>
      </c>
      <c r="E23" s="21" t="inlineStr">
        <is>
          <t>M</t>
        </is>
      </c>
      <c r="F23" s="21" t="inlineStr">
        <is>
          <t>WH-HYD-01</t>
        </is>
      </c>
      <c r="G23" s="12" t="inlineStr">
        <is>
          <t>Hyderabad (Telangana)</t>
        </is>
      </c>
      <c r="H23" s="13" t="n">
        <v>79</v>
      </c>
      <c r="I23" s="13" t="n">
        <v>30</v>
      </c>
      <c r="J23" s="14" t="n">
        <v>2100</v>
      </c>
      <c r="K23" s="14" t="n">
        <v>6200</v>
      </c>
      <c r="L23" s="14">
        <f>H23*J23</f>
        <v/>
      </c>
      <c r="M23" s="21">
        <f>IF(H23&lt;=I23, "REORDER NOW", "HEALTHY")</f>
        <v/>
      </c>
    </row>
    <row r="24" ht="19" customHeight="1">
      <c r="A24" s="20" t="inlineStr">
        <is>
          <t>PD-002-M</t>
        </is>
      </c>
      <c r="B24" s="20" t="inlineStr">
        <is>
          <t>PD-002</t>
        </is>
      </c>
      <c r="C24" s="9" t="inlineStr">
        <is>
          <t>Merlot Satin Slip Dress</t>
        </is>
      </c>
      <c r="D24" s="9" t="inlineStr">
        <is>
          <t>Dresses</t>
        </is>
      </c>
      <c r="E24" s="20" t="inlineStr">
        <is>
          <t>M</t>
        </is>
      </c>
      <c r="F24" s="20" t="inlineStr">
        <is>
          <t>WH-BLR-02</t>
        </is>
      </c>
      <c r="G24" s="9" t="inlineStr">
        <is>
          <t>Bengaluru (Karnataka)</t>
        </is>
      </c>
      <c r="H24" s="10" t="n">
        <v>92</v>
      </c>
      <c r="I24" s="10" t="n">
        <v>30</v>
      </c>
      <c r="J24" s="11" t="n">
        <v>2100</v>
      </c>
      <c r="K24" s="11" t="n">
        <v>6200</v>
      </c>
      <c r="L24" s="11">
        <f>H24*J24</f>
        <v/>
      </c>
      <c r="M24" s="20">
        <f>IF(H24&lt;=I24, "REORDER NOW", "HEALTHY")</f>
        <v/>
      </c>
    </row>
    <row r="25" ht="19" customHeight="1">
      <c r="A25" s="21" t="inlineStr">
        <is>
          <t>PD-002-M</t>
        </is>
      </c>
      <c r="B25" s="21" t="inlineStr">
        <is>
          <t>PD-002</t>
        </is>
      </c>
      <c r="C25" s="12" t="inlineStr">
        <is>
          <t>Merlot Satin Slip Dress</t>
        </is>
      </c>
      <c r="D25" s="12" t="inlineStr">
        <is>
          <t>Dresses</t>
        </is>
      </c>
      <c r="E25" s="21" t="inlineStr">
        <is>
          <t>M</t>
        </is>
      </c>
      <c r="F25" s="21" t="inlineStr">
        <is>
          <t>WH-DEL-03</t>
        </is>
      </c>
      <c r="G25" s="12" t="inlineStr">
        <is>
          <t>Delhi NCR (Haryana)</t>
        </is>
      </c>
      <c r="H25" s="13" t="n">
        <v>18</v>
      </c>
      <c r="I25" s="13" t="n">
        <v>30</v>
      </c>
      <c r="J25" s="14" t="n">
        <v>2100</v>
      </c>
      <c r="K25" s="14" t="n">
        <v>6200</v>
      </c>
      <c r="L25" s="14">
        <f>H25*J25</f>
        <v/>
      </c>
      <c r="M25" s="21">
        <f>IF(H25&lt;=I25, "REORDER NOW", "HEALTHY")</f>
        <v/>
      </c>
    </row>
    <row r="26" ht="19" customHeight="1">
      <c r="A26" s="20" t="inlineStr">
        <is>
          <t>PD-002-L</t>
        </is>
      </c>
      <c r="B26" s="20" t="inlineStr">
        <is>
          <t>PD-002</t>
        </is>
      </c>
      <c r="C26" s="9" t="inlineStr">
        <is>
          <t>Merlot Satin Slip Dress</t>
        </is>
      </c>
      <c r="D26" s="9" t="inlineStr">
        <is>
          <t>Dresses</t>
        </is>
      </c>
      <c r="E26" s="20" t="inlineStr">
        <is>
          <t>L</t>
        </is>
      </c>
      <c r="F26" s="20" t="inlineStr">
        <is>
          <t>WH-HYD-01</t>
        </is>
      </c>
      <c r="G26" s="9" t="inlineStr">
        <is>
          <t>Hyderabad (Telangana)</t>
        </is>
      </c>
      <c r="H26" s="10" t="n">
        <v>86</v>
      </c>
      <c r="I26" s="10" t="n">
        <v>30</v>
      </c>
      <c r="J26" s="11" t="n">
        <v>2100</v>
      </c>
      <c r="K26" s="11" t="n">
        <v>6200</v>
      </c>
      <c r="L26" s="11">
        <f>H26*J26</f>
        <v/>
      </c>
      <c r="M26" s="20">
        <f>IF(H26&lt;=I26, "REORDER NOW", "HEALTHY")</f>
        <v/>
      </c>
    </row>
    <row r="27" ht="19" customHeight="1">
      <c r="A27" s="21" t="inlineStr">
        <is>
          <t>PD-002-L</t>
        </is>
      </c>
      <c r="B27" s="21" t="inlineStr">
        <is>
          <t>PD-002</t>
        </is>
      </c>
      <c r="C27" s="12" t="inlineStr">
        <is>
          <t>Merlot Satin Slip Dress</t>
        </is>
      </c>
      <c r="D27" s="12" t="inlineStr">
        <is>
          <t>Dresses</t>
        </is>
      </c>
      <c r="E27" s="21" t="inlineStr">
        <is>
          <t>L</t>
        </is>
      </c>
      <c r="F27" s="21" t="inlineStr">
        <is>
          <t>WH-BLR-02</t>
        </is>
      </c>
      <c r="G27" s="12" t="inlineStr">
        <is>
          <t>Bengaluru (Karnataka)</t>
        </is>
      </c>
      <c r="H27" s="13" t="n">
        <v>40</v>
      </c>
      <c r="I27" s="13" t="n">
        <v>30</v>
      </c>
      <c r="J27" s="14" t="n">
        <v>2100</v>
      </c>
      <c r="K27" s="14" t="n">
        <v>6200</v>
      </c>
      <c r="L27" s="14">
        <f>H27*J27</f>
        <v/>
      </c>
      <c r="M27" s="21">
        <f>IF(H27&lt;=I27, "REORDER NOW", "HEALTHY")</f>
        <v/>
      </c>
    </row>
    <row r="28" ht="19" customHeight="1">
      <c r="A28" s="20" t="inlineStr">
        <is>
          <t>PD-002-L</t>
        </is>
      </c>
      <c r="B28" s="20" t="inlineStr">
        <is>
          <t>PD-002</t>
        </is>
      </c>
      <c r="C28" s="9" t="inlineStr">
        <is>
          <t>Merlot Satin Slip Dress</t>
        </is>
      </c>
      <c r="D28" s="9" t="inlineStr">
        <is>
          <t>Dresses</t>
        </is>
      </c>
      <c r="E28" s="20" t="inlineStr">
        <is>
          <t>L</t>
        </is>
      </c>
      <c r="F28" s="20" t="inlineStr">
        <is>
          <t>WH-DEL-03</t>
        </is>
      </c>
      <c r="G28" s="9" t="inlineStr">
        <is>
          <t>Delhi NCR (Haryana)</t>
        </is>
      </c>
      <c r="H28" s="10" t="n">
        <v>106</v>
      </c>
      <c r="I28" s="10" t="n">
        <v>30</v>
      </c>
      <c r="J28" s="11" t="n">
        <v>2100</v>
      </c>
      <c r="K28" s="11" t="n">
        <v>6200</v>
      </c>
      <c r="L28" s="11">
        <f>H28*J28</f>
        <v/>
      </c>
      <c r="M28" s="20">
        <f>IF(H28&lt;=I28, "REORDER NOW", "HEALTHY")</f>
        <v/>
      </c>
    </row>
    <row r="29" ht="19" customHeight="1">
      <c r="A29" s="21" t="inlineStr">
        <is>
          <t>PD-002-XL</t>
        </is>
      </c>
      <c r="B29" s="21" t="inlineStr">
        <is>
          <t>PD-002</t>
        </is>
      </c>
      <c r="C29" s="12" t="inlineStr">
        <is>
          <t>Merlot Satin Slip Dress</t>
        </is>
      </c>
      <c r="D29" s="12" t="inlineStr">
        <is>
          <t>Dresses</t>
        </is>
      </c>
      <c r="E29" s="21" t="inlineStr">
        <is>
          <t>XL</t>
        </is>
      </c>
      <c r="F29" s="21" t="inlineStr">
        <is>
          <t>WH-HYD-01</t>
        </is>
      </c>
      <c r="G29" s="12" t="inlineStr">
        <is>
          <t>Hyderabad (Telangana)</t>
        </is>
      </c>
      <c r="H29" s="13" t="n">
        <v>98</v>
      </c>
      <c r="I29" s="13" t="n">
        <v>30</v>
      </c>
      <c r="J29" s="14" t="n">
        <v>2100</v>
      </c>
      <c r="K29" s="14" t="n">
        <v>6200</v>
      </c>
      <c r="L29" s="14">
        <f>H29*J29</f>
        <v/>
      </c>
      <c r="M29" s="21">
        <f>IF(H29&lt;=I29, "REORDER NOW", "HEALTHY")</f>
        <v/>
      </c>
    </row>
    <row r="30" ht="19" customHeight="1">
      <c r="A30" s="20" t="inlineStr">
        <is>
          <t>PD-002-XL</t>
        </is>
      </c>
      <c r="B30" s="20" t="inlineStr">
        <is>
          <t>PD-002</t>
        </is>
      </c>
      <c r="C30" s="9" t="inlineStr">
        <is>
          <t>Merlot Satin Slip Dress</t>
        </is>
      </c>
      <c r="D30" s="9" t="inlineStr">
        <is>
          <t>Dresses</t>
        </is>
      </c>
      <c r="E30" s="20" t="inlineStr">
        <is>
          <t>XL</t>
        </is>
      </c>
      <c r="F30" s="20" t="inlineStr">
        <is>
          <t>WH-BLR-02</t>
        </is>
      </c>
      <c r="G30" s="9" t="inlineStr">
        <is>
          <t>Bengaluru (Karnataka)</t>
        </is>
      </c>
      <c r="H30" s="10" t="n">
        <v>104</v>
      </c>
      <c r="I30" s="10" t="n">
        <v>30</v>
      </c>
      <c r="J30" s="11" t="n">
        <v>2100</v>
      </c>
      <c r="K30" s="11" t="n">
        <v>6200</v>
      </c>
      <c r="L30" s="11">
        <f>H30*J30</f>
        <v/>
      </c>
      <c r="M30" s="20">
        <f>IF(H30&lt;=I30, "REORDER NOW", "HEALTHY")</f>
        <v/>
      </c>
    </row>
    <row r="31" ht="19" customHeight="1">
      <c r="A31" s="21" t="inlineStr">
        <is>
          <t>PD-002-XL</t>
        </is>
      </c>
      <c r="B31" s="21" t="inlineStr">
        <is>
          <t>PD-002</t>
        </is>
      </c>
      <c r="C31" s="12" t="inlineStr">
        <is>
          <t>Merlot Satin Slip Dress</t>
        </is>
      </c>
      <c r="D31" s="12" t="inlineStr">
        <is>
          <t>Dresses</t>
        </is>
      </c>
      <c r="E31" s="21" t="inlineStr">
        <is>
          <t>XL</t>
        </is>
      </c>
      <c r="F31" s="21" t="inlineStr">
        <is>
          <t>WH-DEL-03</t>
        </is>
      </c>
      <c r="G31" s="12" t="inlineStr">
        <is>
          <t>Delhi NCR (Haryana)</t>
        </is>
      </c>
      <c r="H31" s="13" t="n">
        <v>84</v>
      </c>
      <c r="I31" s="13" t="n">
        <v>30</v>
      </c>
      <c r="J31" s="14" t="n">
        <v>2100</v>
      </c>
      <c r="K31" s="14" t="n">
        <v>6200</v>
      </c>
      <c r="L31" s="14">
        <f>H31*J31</f>
        <v/>
      </c>
      <c r="M31" s="21">
        <f>IF(H31&lt;=I31, "REORDER NOW", "HEALTHY")</f>
        <v/>
      </c>
    </row>
    <row r="32" ht="19" customHeight="1">
      <c r="A32" s="20" t="inlineStr">
        <is>
          <t>PD-003-XS</t>
        </is>
      </c>
      <c r="B32" s="20" t="inlineStr">
        <is>
          <t>PD-003</t>
        </is>
      </c>
      <c r="C32" s="9" t="inlineStr">
        <is>
          <t>Bordeaux Lace Midi</t>
        </is>
      </c>
      <c r="D32" s="9" t="inlineStr">
        <is>
          <t>Dresses</t>
        </is>
      </c>
      <c r="E32" s="20" t="inlineStr">
        <is>
          <t>XS</t>
        </is>
      </c>
      <c r="F32" s="20" t="inlineStr">
        <is>
          <t>WH-HYD-01</t>
        </is>
      </c>
      <c r="G32" s="9" t="inlineStr">
        <is>
          <t>Hyderabad (Telangana)</t>
        </is>
      </c>
      <c r="H32" s="10" t="n">
        <v>68</v>
      </c>
      <c r="I32" s="10" t="n">
        <v>30</v>
      </c>
      <c r="J32" s="11" t="n">
        <v>2800</v>
      </c>
      <c r="K32" s="11" t="n">
        <v>7800</v>
      </c>
      <c r="L32" s="11">
        <f>H32*J32</f>
        <v/>
      </c>
      <c r="M32" s="20">
        <f>IF(H32&lt;=I32, "REORDER NOW", "HEALTHY")</f>
        <v/>
      </c>
    </row>
    <row r="33" ht="19" customHeight="1">
      <c r="A33" s="21" t="inlineStr">
        <is>
          <t>PD-003-XS</t>
        </is>
      </c>
      <c r="B33" s="21" t="inlineStr">
        <is>
          <t>PD-003</t>
        </is>
      </c>
      <c r="C33" s="12" t="inlineStr">
        <is>
          <t>Bordeaux Lace Midi</t>
        </is>
      </c>
      <c r="D33" s="12" t="inlineStr">
        <is>
          <t>Dresses</t>
        </is>
      </c>
      <c r="E33" s="21" t="inlineStr">
        <is>
          <t>XS</t>
        </is>
      </c>
      <c r="F33" s="21" t="inlineStr">
        <is>
          <t>WH-BLR-02</t>
        </is>
      </c>
      <c r="G33" s="12" t="inlineStr">
        <is>
          <t>Bengaluru (Karnataka)</t>
        </is>
      </c>
      <c r="H33" s="13" t="n">
        <v>43</v>
      </c>
      <c r="I33" s="13" t="n">
        <v>30</v>
      </c>
      <c r="J33" s="14" t="n">
        <v>2800</v>
      </c>
      <c r="K33" s="14" t="n">
        <v>7800</v>
      </c>
      <c r="L33" s="14">
        <f>H33*J33</f>
        <v/>
      </c>
      <c r="M33" s="21">
        <f>IF(H33&lt;=I33, "REORDER NOW", "HEALTHY")</f>
        <v/>
      </c>
    </row>
    <row r="34" ht="19" customHeight="1">
      <c r="A34" s="20" t="inlineStr">
        <is>
          <t>PD-003-XS</t>
        </is>
      </c>
      <c r="B34" s="20" t="inlineStr">
        <is>
          <t>PD-003</t>
        </is>
      </c>
      <c r="C34" s="9" t="inlineStr">
        <is>
          <t>Bordeaux Lace Midi</t>
        </is>
      </c>
      <c r="D34" s="9" t="inlineStr">
        <is>
          <t>Dresses</t>
        </is>
      </c>
      <c r="E34" s="20" t="inlineStr">
        <is>
          <t>XS</t>
        </is>
      </c>
      <c r="F34" s="20" t="inlineStr">
        <is>
          <t>WH-DEL-03</t>
        </is>
      </c>
      <c r="G34" s="9" t="inlineStr">
        <is>
          <t>Delhi NCR (Haryana)</t>
        </is>
      </c>
      <c r="H34" s="10" t="n">
        <v>72</v>
      </c>
      <c r="I34" s="10" t="n">
        <v>30</v>
      </c>
      <c r="J34" s="11" t="n">
        <v>2800</v>
      </c>
      <c r="K34" s="11" t="n">
        <v>7800</v>
      </c>
      <c r="L34" s="11">
        <f>H34*J34</f>
        <v/>
      </c>
      <c r="M34" s="20">
        <f>IF(H34&lt;=I34, "REORDER NOW", "HEALTHY")</f>
        <v/>
      </c>
    </row>
    <row r="35" ht="19" customHeight="1">
      <c r="A35" s="21" t="inlineStr">
        <is>
          <t>PD-003-S</t>
        </is>
      </c>
      <c r="B35" s="21" t="inlineStr">
        <is>
          <t>PD-003</t>
        </is>
      </c>
      <c r="C35" s="12" t="inlineStr">
        <is>
          <t>Bordeaux Lace Midi</t>
        </is>
      </c>
      <c r="D35" s="12" t="inlineStr">
        <is>
          <t>Dresses</t>
        </is>
      </c>
      <c r="E35" s="21" t="inlineStr">
        <is>
          <t>S</t>
        </is>
      </c>
      <c r="F35" s="21" t="inlineStr">
        <is>
          <t>WH-HYD-01</t>
        </is>
      </c>
      <c r="G35" s="12" t="inlineStr">
        <is>
          <t>Hyderabad (Telangana)</t>
        </is>
      </c>
      <c r="H35" s="13" t="n">
        <v>90</v>
      </c>
      <c r="I35" s="13" t="n">
        <v>30</v>
      </c>
      <c r="J35" s="14" t="n">
        <v>2800</v>
      </c>
      <c r="K35" s="14" t="n">
        <v>7800</v>
      </c>
      <c r="L35" s="14">
        <f>H35*J35</f>
        <v/>
      </c>
      <c r="M35" s="21">
        <f>IF(H35&lt;=I35, "REORDER NOW", "HEALTHY")</f>
        <v/>
      </c>
    </row>
    <row r="36" ht="19" customHeight="1">
      <c r="A36" s="20" t="inlineStr">
        <is>
          <t>PD-003-S</t>
        </is>
      </c>
      <c r="B36" s="20" t="inlineStr">
        <is>
          <t>PD-003</t>
        </is>
      </c>
      <c r="C36" s="9" t="inlineStr">
        <is>
          <t>Bordeaux Lace Midi</t>
        </is>
      </c>
      <c r="D36" s="9" t="inlineStr">
        <is>
          <t>Dresses</t>
        </is>
      </c>
      <c r="E36" s="20" t="inlineStr">
        <is>
          <t>S</t>
        </is>
      </c>
      <c r="F36" s="20" t="inlineStr">
        <is>
          <t>WH-BLR-02</t>
        </is>
      </c>
      <c r="G36" s="9" t="inlineStr">
        <is>
          <t>Bengaluru (Karnataka)</t>
        </is>
      </c>
      <c r="H36" s="10" t="n">
        <v>50</v>
      </c>
      <c r="I36" s="10" t="n">
        <v>30</v>
      </c>
      <c r="J36" s="11" t="n">
        <v>2800</v>
      </c>
      <c r="K36" s="11" t="n">
        <v>7800</v>
      </c>
      <c r="L36" s="11">
        <f>H36*J36</f>
        <v/>
      </c>
      <c r="M36" s="20">
        <f>IF(H36&lt;=I36, "REORDER NOW", "HEALTHY")</f>
        <v/>
      </c>
    </row>
    <row r="37" ht="19" customHeight="1">
      <c r="A37" s="21" t="inlineStr">
        <is>
          <t>PD-003-S</t>
        </is>
      </c>
      <c r="B37" s="21" t="inlineStr">
        <is>
          <t>PD-003</t>
        </is>
      </c>
      <c r="C37" s="12" t="inlineStr">
        <is>
          <t>Bordeaux Lace Midi</t>
        </is>
      </c>
      <c r="D37" s="12" t="inlineStr">
        <is>
          <t>Dresses</t>
        </is>
      </c>
      <c r="E37" s="21" t="inlineStr">
        <is>
          <t>S</t>
        </is>
      </c>
      <c r="F37" s="21" t="inlineStr">
        <is>
          <t>WH-DEL-03</t>
        </is>
      </c>
      <c r="G37" s="12" t="inlineStr">
        <is>
          <t>Delhi NCR (Haryana)</t>
        </is>
      </c>
      <c r="H37" s="13" t="n">
        <v>118</v>
      </c>
      <c r="I37" s="13" t="n">
        <v>30</v>
      </c>
      <c r="J37" s="14" t="n">
        <v>2800</v>
      </c>
      <c r="K37" s="14" t="n">
        <v>7800</v>
      </c>
      <c r="L37" s="14">
        <f>H37*J37</f>
        <v/>
      </c>
      <c r="M37" s="21">
        <f>IF(H37&lt;=I37, "REORDER NOW", "HEALTHY")</f>
        <v/>
      </c>
    </row>
    <row r="38" ht="19" customHeight="1">
      <c r="A38" s="20" t="inlineStr">
        <is>
          <t>PD-003-M</t>
        </is>
      </c>
      <c r="B38" s="20" t="inlineStr">
        <is>
          <t>PD-003</t>
        </is>
      </c>
      <c r="C38" s="9" t="inlineStr">
        <is>
          <t>Bordeaux Lace Midi</t>
        </is>
      </c>
      <c r="D38" s="9" t="inlineStr">
        <is>
          <t>Dresses</t>
        </is>
      </c>
      <c r="E38" s="20" t="inlineStr">
        <is>
          <t>M</t>
        </is>
      </c>
      <c r="F38" s="20" t="inlineStr">
        <is>
          <t>WH-HYD-01</t>
        </is>
      </c>
      <c r="G38" s="9" t="inlineStr">
        <is>
          <t>Hyderabad (Telangana)</t>
        </is>
      </c>
      <c r="H38" s="10" t="n">
        <v>15</v>
      </c>
      <c r="I38" s="10" t="n">
        <v>30</v>
      </c>
      <c r="J38" s="11" t="n">
        <v>2800</v>
      </c>
      <c r="K38" s="11" t="n">
        <v>7800</v>
      </c>
      <c r="L38" s="11">
        <f>H38*J38</f>
        <v/>
      </c>
      <c r="M38" s="20">
        <f>IF(H38&lt;=I38, "REORDER NOW", "HEALTHY")</f>
        <v/>
      </c>
    </row>
    <row r="39" ht="19" customHeight="1">
      <c r="A39" s="21" t="inlineStr">
        <is>
          <t>PD-003-M</t>
        </is>
      </c>
      <c r="B39" s="21" t="inlineStr">
        <is>
          <t>PD-003</t>
        </is>
      </c>
      <c r="C39" s="12" t="inlineStr">
        <is>
          <t>Bordeaux Lace Midi</t>
        </is>
      </c>
      <c r="D39" s="12" t="inlineStr">
        <is>
          <t>Dresses</t>
        </is>
      </c>
      <c r="E39" s="21" t="inlineStr">
        <is>
          <t>M</t>
        </is>
      </c>
      <c r="F39" s="21" t="inlineStr">
        <is>
          <t>WH-BLR-02</t>
        </is>
      </c>
      <c r="G39" s="12" t="inlineStr">
        <is>
          <t>Bengaluru (Karnataka)</t>
        </is>
      </c>
      <c r="H39" s="13" t="n">
        <v>112</v>
      </c>
      <c r="I39" s="13" t="n">
        <v>30</v>
      </c>
      <c r="J39" s="14" t="n">
        <v>2800</v>
      </c>
      <c r="K39" s="14" t="n">
        <v>7800</v>
      </c>
      <c r="L39" s="14">
        <f>H39*J39</f>
        <v/>
      </c>
      <c r="M39" s="21">
        <f>IF(H39&lt;=I39, "REORDER NOW", "HEALTHY")</f>
        <v/>
      </c>
    </row>
    <row r="40" ht="19" customHeight="1">
      <c r="A40" s="20" t="inlineStr">
        <is>
          <t>PD-003-M</t>
        </is>
      </c>
      <c r="B40" s="20" t="inlineStr">
        <is>
          <t>PD-003</t>
        </is>
      </c>
      <c r="C40" s="9" t="inlineStr">
        <is>
          <t>Bordeaux Lace Midi</t>
        </is>
      </c>
      <c r="D40" s="9" t="inlineStr">
        <is>
          <t>Dresses</t>
        </is>
      </c>
      <c r="E40" s="20" t="inlineStr">
        <is>
          <t>M</t>
        </is>
      </c>
      <c r="F40" s="20" t="inlineStr">
        <is>
          <t>WH-DEL-03</t>
        </is>
      </c>
      <c r="G40" s="9" t="inlineStr">
        <is>
          <t>Delhi NCR (Haryana)</t>
        </is>
      </c>
      <c r="H40" s="10" t="n">
        <v>118</v>
      </c>
      <c r="I40" s="10" t="n">
        <v>30</v>
      </c>
      <c r="J40" s="11" t="n">
        <v>2800</v>
      </c>
      <c r="K40" s="11" t="n">
        <v>7800</v>
      </c>
      <c r="L40" s="11">
        <f>H40*J40</f>
        <v/>
      </c>
      <c r="M40" s="20">
        <f>IF(H40&lt;=I40, "REORDER NOW", "HEALTHY")</f>
        <v/>
      </c>
    </row>
    <row r="41" ht="19" customHeight="1">
      <c r="A41" s="21" t="inlineStr">
        <is>
          <t>PD-003-L</t>
        </is>
      </c>
      <c r="B41" s="21" t="inlineStr">
        <is>
          <t>PD-003</t>
        </is>
      </c>
      <c r="C41" s="12" t="inlineStr">
        <is>
          <t>Bordeaux Lace Midi</t>
        </is>
      </c>
      <c r="D41" s="12" t="inlineStr">
        <is>
          <t>Dresses</t>
        </is>
      </c>
      <c r="E41" s="21" t="inlineStr">
        <is>
          <t>L</t>
        </is>
      </c>
      <c r="F41" s="21" t="inlineStr">
        <is>
          <t>WH-HYD-01</t>
        </is>
      </c>
      <c r="G41" s="12" t="inlineStr">
        <is>
          <t>Hyderabad (Telangana)</t>
        </is>
      </c>
      <c r="H41" s="13" t="n">
        <v>35</v>
      </c>
      <c r="I41" s="13" t="n">
        <v>30</v>
      </c>
      <c r="J41" s="14" t="n">
        <v>2800</v>
      </c>
      <c r="K41" s="14" t="n">
        <v>7800</v>
      </c>
      <c r="L41" s="14">
        <f>H41*J41</f>
        <v/>
      </c>
      <c r="M41" s="21">
        <f>IF(H41&lt;=I41, "REORDER NOW", "HEALTHY")</f>
        <v/>
      </c>
    </row>
    <row r="42" ht="19" customHeight="1">
      <c r="A42" s="20" t="inlineStr">
        <is>
          <t>PD-003-L</t>
        </is>
      </c>
      <c r="B42" s="20" t="inlineStr">
        <is>
          <t>PD-003</t>
        </is>
      </c>
      <c r="C42" s="9" t="inlineStr">
        <is>
          <t>Bordeaux Lace Midi</t>
        </is>
      </c>
      <c r="D42" s="9" t="inlineStr">
        <is>
          <t>Dresses</t>
        </is>
      </c>
      <c r="E42" s="20" t="inlineStr">
        <is>
          <t>L</t>
        </is>
      </c>
      <c r="F42" s="20" t="inlineStr">
        <is>
          <t>WH-BLR-02</t>
        </is>
      </c>
      <c r="G42" s="9" t="inlineStr">
        <is>
          <t>Bengaluru (Karnataka)</t>
        </is>
      </c>
      <c r="H42" s="10" t="n">
        <v>104</v>
      </c>
      <c r="I42" s="10" t="n">
        <v>30</v>
      </c>
      <c r="J42" s="11" t="n">
        <v>2800</v>
      </c>
      <c r="K42" s="11" t="n">
        <v>7800</v>
      </c>
      <c r="L42" s="11">
        <f>H42*J42</f>
        <v/>
      </c>
      <c r="M42" s="20">
        <f>IF(H42&lt;=I42, "REORDER NOW", "HEALTHY")</f>
        <v/>
      </c>
    </row>
    <row r="43" ht="19" customHeight="1">
      <c r="A43" s="21" t="inlineStr">
        <is>
          <t>PD-003-L</t>
        </is>
      </c>
      <c r="B43" s="21" t="inlineStr">
        <is>
          <t>PD-003</t>
        </is>
      </c>
      <c r="C43" s="12" t="inlineStr">
        <is>
          <t>Bordeaux Lace Midi</t>
        </is>
      </c>
      <c r="D43" s="12" t="inlineStr">
        <is>
          <t>Dresses</t>
        </is>
      </c>
      <c r="E43" s="21" t="inlineStr">
        <is>
          <t>L</t>
        </is>
      </c>
      <c r="F43" s="21" t="inlineStr">
        <is>
          <t>WH-DEL-03</t>
        </is>
      </c>
      <c r="G43" s="12" t="inlineStr">
        <is>
          <t>Delhi NCR (Haryana)</t>
        </is>
      </c>
      <c r="H43" s="13" t="n">
        <v>69</v>
      </c>
      <c r="I43" s="13" t="n">
        <v>30</v>
      </c>
      <c r="J43" s="14" t="n">
        <v>2800</v>
      </c>
      <c r="K43" s="14" t="n">
        <v>7800</v>
      </c>
      <c r="L43" s="14">
        <f>H43*J43</f>
        <v/>
      </c>
      <c r="M43" s="21">
        <f>IF(H43&lt;=I43, "REORDER NOW", "HEALTHY")</f>
        <v/>
      </c>
    </row>
    <row r="44" ht="19" customHeight="1">
      <c r="A44" s="20" t="inlineStr">
        <is>
          <t>PD-003-XL</t>
        </is>
      </c>
      <c r="B44" s="20" t="inlineStr">
        <is>
          <t>PD-003</t>
        </is>
      </c>
      <c r="C44" s="9" t="inlineStr">
        <is>
          <t>Bordeaux Lace Midi</t>
        </is>
      </c>
      <c r="D44" s="9" t="inlineStr">
        <is>
          <t>Dresses</t>
        </is>
      </c>
      <c r="E44" s="20" t="inlineStr">
        <is>
          <t>XL</t>
        </is>
      </c>
      <c r="F44" s="20" t="inlineStr">
        <is>
          <t>WH-HYD-01</t>
        </is>
      </c>
      <c r="G44" s="9" t="inlineStr">
        <is>
          <t>Hyderabad (Telangana)</t>
        </is>
      </c>
      <c r="H44" s="10" t="n">
        <v>58</v>
      </c>
      <c r="I44" s="10" t="n">
        <v>30</v>
      </c>
      <c r="J44" s="11" t="n">
        <v>2800</v>
      </c>
      <c r="K44" s="11" t="n">
        <v>7800</v>
      </c>
      <c r="L44" s="11">
        <f>H44*J44</f>
        <v/>
      </c>
      <c r="M44" s="20">
        <f>IF(H44&lt;=I44, "REORDER NOW", "HEALTHY")</f>
        <v/>
      </c>
    </row>
    <row r="45" ht="19" customHeight="1">
      <c r="A45" s="21" t="inlineStr">
        <is>
          <t>PD-003-XL</t>
        </is>
      </c>
      <c r="B45" s="21" t="inlineStr">
        <is>
          <t>PD-003</t>
        </is>
      </c>
      <c r="C45" s="12" t="inlineStr">
        <is>
          <t>Bordeaux Lace Midi</t>
        </is>
      </c>
      <c r="D45" s="12" t="inlineStr">
        <is>
          <t>Dresses</t>
        </is>
      </c>
      <c r="E45" s="21" t="inlineStr">
        <is>
          <t>XL</t>
        </is>
      </c>
      <c r="F45" s="21" t="inlineStr">
        <is>
          <t>WH-BLR-02</t>
        </is>
      </c>
      <c r="G45" s="12" t="inlineStr">
        <is>
          <t>Bengaluru (Karnataka)</t>
        </is>
      </c>
      <c r="H45" s="13" t="n">
        <v>50</v>
      </c>
      <c r="I45" s="13" t="n">
        <v>30</v>
      </c>
      <c r="J45" s="14" t="n">
        <v>2800</v>
      </c>
      <c r="K45" s="14" t="n">
        <v>7800</v>
      </c>
      <c r="L45" s="14">
        <f>H45*J45</f>
        <v/>
      </c>
      <c r="M45" s="21">
        <f>IF(H45&lt;=I45, "REORDER NOW", "HEALTHY")</f>
        <v/>
      </c>
    </row>
    <row r="46" ht="19" customHeight="1">
      <c r="A46" s="20" t="inlineStr">
        <is>
          <t>PD-003-XL</t>
        </is>
      </c>
      <c r="B46" s="20" t="inlineStr">
        <is>
          <t>PD-003</t>
        </is>
      </c>
      <c r="C46" s="9" t="inlineStr">
        <is>
          <t>Bordeaux Lace Midi</t>
        </is>
      </c>
      <c r="D46" s="9" t="inlineStr">
        <is>
          <t>Dresses</t>
        </is>
      </c>
      <c r="E46" s="20" t="inlineStr">
        <is>
          <t>XL</t>
        </is>
      </c>
      <c r="F46" s="20" t="inlineStr">
        <is>
          <t>WH-DEL-03</t>
        </is>
      </c>
      <c r="G46" s="9" t="inlineStr">
        <is>
          <t>Delhi NCR (Haryana)</t>
        </is>
      </c>
      <c r="H46" s="10" t="n">
        <v>34</v>
      </c>
      <c r="I46" s="10" t="n">
        <v>30</v>
      </c>
      <c r="J46" s="11" t="n">
        <v>2800</v>
      </c>
      <c r="K46" s="11" t="n">
        <v>7800</v>
      </c>
      <c r="L46" s="11">
        <f>H46*J46</f>
        <v/>
      </c>
      <c r="M46" s="20">
        <f>IF(H46&lt;=I46, "REORDER NOW", "HEALTHY")</f>
        <v/>
      </c>
    </row>
    <row r="47" ht="19" customHeight="1">
      <c r="A47" s="21" t="inlineStr">
        <is>
          <t>PD-004-XS</t>
        </is>
      </c>
      <c r="B47" s="21" t="inlineStr">
        <is>
          <t>PD-004</t>
        </is>
      </c>
      <c r="C47" s="12" t="inlineStr">
        <is>
          <t>Rosé Off-Shoulder Mini</t>
        </is>
      </c>
      <c r="D47" s="12" t="inlineStr">
        <is>
          <t>Dresses</t>
        </is>
      </c>
      <c r="E47" s="21" t="inlineStr">
        <is>
          <t>XS</t>
        </is>
      </c>
      <c r="F47" s="21" t="inlineStr">
        <is>
          <t>WH-HYD-01</t>
        </is>
      </c>
      <c r="G47" s="12" t="inlineStr">
        <is>
          <t>Hyderabad (Telangana)</t>
        </is>
      </c>
      <c r="H47" s="13" t="n">
        <v>42</v>
      </c>
      <c r="I47" s="13" t="n">
        <v>30</v>
      </c>
      <c r="J47" s="14" t="n">
        <v>1800</v>
      </c>
      <c r="K47" s="14" t="n">
        <v>4900</v>
      </c>
      <c r="L47" s="14">
        <f>H47*J47</f>
        <v/>
      </c>
      <c r="M47" s="21">
        <f>IF(H47&lt;=I47, "REORDER NOW", "HEALTHY")</f>
        <v/>
      </c>
    </row>
    <row r="48" ht="19" customHeight="1">
      <c r="A48" s="20" t="inlineStr">
        <is>
          <t>PD-004-XS</t>
        </is>
      </c>
      <c r="B48" s="20" t="inlineStr">
        <is>
          <t>PD-004</t>
        </is>
      </c>
      <c r="C48" s="9" t="inlineStr">
        <is>
          <t>Rosé Off-Shoulder Mini</t>
        </is>
      </c>
      <c r="D48" s="9" t="inlineStr">
        <is>
          <t>Dresses</t>
        </is>
      </c>
      <c r="E48" s="20" t="inlineStr">
        <is>
          <t>XS</t>
        </is>
      </c>
      <c r="F48" s="20" t="inlineStr">
        <is>
          <t>WH-BLR-02</t>
        </is>
      </c>
      <c r="G48" s="9" t="inlineStr">
        <is>
          <t>Bengaluru (Karnataka)</t>
        </is>
      </c>
      <c r="H48" s="10" t="n">
        <v>112</v>
      </c>
      <c r="I48" s="10" t="n">
        <v>30</v>
      </c>
      <c r="J48" s="11" t="n">
        <v>1800</v>
      </c>
      <c r="K48" s="11" t="n">
        <v>4900</v>
      </c>
      <c r="L48" s="11">
        <f>H48*J48</f>
        <v/>
      </c>
      <c r="M48" s="20">
        <f>IF(H48&lt;=I48, "REORDER NOW", "HEALTHY")</f>
        <v/>
      </c>
    </row>
    <row r="49" ht="19" customHeight="1">
      <c r="A49" s="21" t="inlineStr">
        <is>
          <t>PD-004-XS</t>
        </is>
      </c>
      <c r="B49" s="21" t="inlineStr">
        <is>
          <t>PD-004</t>
        </is>
      </c>
      <c r="C49" s="12" t="inlineStr">
        <is>
          <t>Rosé Off-Shoulder Mini</t>
        </is>
      </c>
      <c r="D49" s="12" t="inlineStr">
        <is>
          <t>Dresses</t>
        </is>
      </c>
      <c r="E49" s="21" t="inlineStr">
        <is>
          <t>XS</t>
        </is>
      </c>
      <c r="F49" s="21" t="inlineStr">
        <is>
          <t>WH-DEL-03</t>
        </is>
      </c>
      <c r="G49" s="12" t="inlineStr">
        <is>
          <t>Delhi NCR (Haryana)</t>
        </is>
      </c>
      <c r="H49" s="13" t="n">
        <v>58</v>
      </c>
      <c r="I49" s="13" t="n">
        <v>30</v>
      </c>
      <c r="J49" s="14" t="n">
        <v>1800</v>
      </c>
      <c r="K49" s="14" t="n">
        <v>4900</v>
      </c>
      <c r="L49" s="14">
        <f>H49*J49</f>
        <v/>
      </c>
      <c r="M49" s="21">
        <f>IF(H49&lt;=I49, "REORDER NOW", "HEALTHY")</f>
        <v/>
      </c>
    </row>
    <row r="50" ht="19" customHeight="1">
      <c r="A50" s="20" t="inlineStr">
        <is>
          <t>PD-004-S</t>
        </is>
      </c>
      <c r="B50" s="20" t="inlineStr">
        <is>
          <t>PD-004</t>
        </is>
      </c>
      <c r="C50" s="9" t="inlineStr">
        <is>
          <t>Rosé Off-Shoulder Mini</t>
        </is>
      </c>
      <c r="D50" s="9" t="inlineStr">
        <is>
          <t>Dresses</t>
        </is>
      </c>
      <c r="E50" s="20" t="inlineStr">
        <is>
          <t>S</t>
        </is>
      </c>
      <c r="F50" s="20" t="inlineStr">
        <is>
          <t>WH-HYD-01</t>
        </is>
      </c>
      <c r="G50" s="9" t="inlineStr">
        <is>
          <t>Hyderabad (Telangana)</t>
        </is>
      </c>
      <c r="H50" s="10" t="n">
        <v>28</v>
      </c>
      <c r="I50" s="10" t="n">
        <v>30</v>
      </c>
      <c r="J50" s="11" t="n">
        <v>1800</v>
      </c>
      <c r="K50" s="11" t="n">
        <v>4900</v>
      </c>
      <c r="L50" s="11">
        <f>H50*J50</f>
        <v/>
      </c>
      <c r="M50" s="20">
        <f>IF(H50&lt;=I50, "REORDER NOW", "HEALTHY")</f>
        <v/>
      </c>
    </row>
    <row r="51" ht="19" customHeight="1">
      <c r="A51" s="21" t="inlineStr">
        <is>
          <t>PD-004-S</t>
        </is>
      </c>
      <c r="B51" s="21" t="inlineStr">
        <is>
          <t>PD-004</t>
        </is>
      </c>
      <c r="C51" s="12" t="inlineStr">
        <is>
          <t>Rosé Off-Shoulder Mini</t>
        </is>
      </c>
      <c r="D51" s="12" t="inlineStr">
        <is>
          <t>Dresses</t>
        </is>
      </c>
      <c r="E51" s="21" t="inlineStr">
        <is>
          <t>S</t>
        </is>
      </c>
      <c r="F51" s="21" t="inlineStr">
        <is>
          <t>WH-BLR-02</t>
        </is>
      </c>
      <c r="G51" s="12" t="inlineStr">
        <is>
          <t>Bengaluru (Karnataka)</t>
        </is>
      </c>
      <c r="H51" s="13" t="n">
        <v>26</v>
      </c>
      <c r="I51" s="13" t="n">
        <v>30</v>
      </c>
      <c r="J51" s="14" t="n">
        <v>1800</v>
      </c>
      <c r="K51" s="14" t="n">
        <v>4900</v>
      </c>
      <c r="L51" s="14">
        <f>H51*J51</f>
        <v/>
      </c>
      <c r="M51" s="21">
        <f>IF(H51&lt;=I51, "REORDER NOW", "HEALTHY")</f>
        <v/>
      </c>
    </row>
    <row r="52" ht="19" customHeight="1">
      <c r="A52" s="20" t="inlineStr">
        <is>
          <t>PD-004-S</t>
        </is>
      </c>
      <c r="B52" s="20" t="inlineStr">
        <is>
          <t>PD-004</t>
        </is>
      </c>
      <c r="C52" s="9" t="inlineStr">
        <is>
          <t>Rosé Off-Shoulder Mini</t>
        </is>
      </c>
      <c r="D52" s="9" t="inlineStr">
        <is>
          <t>Dresses</t>
        </is>
      </c>
      <c r="E52" s="20" t="inlineStr">
        <is>
          <t>S</t>
        </is>
      </c>
      <c r="F52" s="20" t="inlineStr">
        <is>
          <t>WH-DEL-03</t>
        </is>
      </c>
      <c r="G52" s="9" t="inlineStr">
        <is>
          <t>Delhi NCR (Haryana)</t>
        </is>
      </c>
      <c r="H52" s="10" t="n">
        <v>63</v>
      </c>
      <c r="I52" s="10" t="n">
        <v>30</v>
      </c>
      <c r="J52" s="11" t="n">
        <v>1800</v>
      </c>
      <c r="K52" s="11" t="n">
        <v>4900</v>
      </c>
      <c r="L52" s="11">
        <f>H52*J52</f>
        <v/>
      </c>
      <c r="M52" s="20">
        <f>IF(H52&lt;=I52, "REORDER NOW", "HEALTHY")</f>
        <v/>
      </c>
    </row>
    <row r="53" ht="19" customHeight="1">
      <c r="A53" s="21" t="inlineStr">
        <is>
          <t>PD-004-M</t>
        </is>
      </c>
      <c r="B53" s="21" t="inlineStr">
        <is>
          <t>PD-004</t>
        </is>
      </c>
      <c r="C53" s="12" t="inlineStr">
        <is>
          <t>Rosé Off-Shoulder Mini</t>
        </is>
      </c>
      <c r="D53" s="12" t="inlineStr">
        <is>
          <t>Dresses</t>
        </is>
      </c>
      <c r="E53" s="21" t="inlineStr">
        <is>
          <t>M</t>
        </is>
      </c>
      <c r="F53" s="21" t="inlineStr">
        <is>
          <t>WH-HYD-01</t>
        </is>
      </c>
      <c r="G53" s="12" t="inlineStr">
        <is>
          <t>Hyderabad (Telangana)</t>
        </is>
      </c>
      <c r="H53" s="13" t="n">
        <v>27</v>
      </c>
      <c r="I53" s="13" t="n">
        <v>30</v>
      </c>
      <c r="J53" s="14" t="n">
        <v>1800</v>
      </c>
      <c r="K53" s="14" t="n">
        <v>4900</v>
      </c>
      <c r="L53" s="14">
        <f>H53*J53</f>
        <v/>
      </c>
      <c r="M53" s="21">
        <f>IF(H53&lt;=I53, "REORDER NOW", "HEALTHY")</f>
        <v/>
      </c>
    </row>
    <row r="54" ht="19" customHeight="1">
      <c r="A54" s="20" t="inlineStr">
        <is>
          <t>PD-004-M</t>
        </is>
      </c>
      <c r="B54" s="20" t="inlineStr">
        <is>
          <t>PD-004</t>
        </is>
      </c>
      <c r="C54" s="9" t="inlineStr">
        <is>
          <t>Rosé Off-Shoulder Mini</t>
        </is>
      </c>
      <c r="D54" s="9" t="inlineStr">
        <is>
          <t>Dresses</t>
        </is>
      </c>
      <c r="E54" s="20" t="inlineStr">
        <is>
          <t>M</t>
        </is>
      </c>
      <c r="F54" s="20" t="inlineStr">
        <is>
          <t>WH-BLR-02</t>
        </is>
      </c>
      <c r="G54" s="9" t="inlineStr">
        <is>
          <t>Bengaluru (Karnataka)</t>
        </is>
      </c>
      <c r="H54" s="10" t="n">
        <v>60</v>
      </c>
      <c r="I54" s="10" t="n">
        <v>30</v>
      </c>
      <c r="J54" s="11" t="n">
        <v>1800</v>
      </c>
      <c r="K54" s="11" t="n">
        <v>4900</v>
      </c>
      <c r="L54" s="11">
        <f>H54*J54</f>
        <v/>
      </c>
      <c r="M54" s="20">
        <f>IF(H54&lt;=I54, "REORDER NOW", "HEALTHY")</f>
        <v/>
      </c>
    </row>
    <row r="55" ht="19" customHeight="1">
      <c r="A55" s="21" t="inlineStr">
        <is>
          <t>PD-004-M</t>
        </is>
      </c>
      <c r="B55" s="21" t="inlineStr">
        <is>
          <t>PD-004</t>
        </is>
      </c>
      <c r="C55" s="12" t="inlineStr">
        <is>
          <t>Rosé Off-Shoulder Mini</t>
        </is>
      </c>
      <c r="D55" s="12" t="inlineStr">
        <is>
          <t>Dresses</t>
        </is>
      </c>
      <c r="E55" s="21" t="inlineStr">
        <is>
          <t>M</t>
        </is>
      </c>
      <c r="F55" s="21" t="inlineStr">
        <is>
          <t>WH-DEL-03</t>
        </is>
      </c>
      <c r="G55" s="12" t="inlineStr">
        <is>
          <t>Delhi NCR (Haryana)</t>
        </is>
      </c>
      <c r="H55" s="13" t="n">
        <v>59</v>
      </c>
      <c r="I55" s="13" t="n">
        <v>30</v>
      </c>
      <c r="J55" s="14" t="n">
        <v>1800</v>
      </c>
      <c r="K55" s="14" t="n">
        <v>4900</v>
      </c>
      <c r="L55" s="14">
        <f>H55*J55</f>
        <v/>
      </c>
      <c r="M55" s="21">
        <f>IF(H55&lt;=I55, "REORDER NOW", "HEALTHY")</f>
        <v/>
      </c>
    </row>
    <row r="56" ht="19" customHeight="1">
      <c r="A56" s="20" t="inlineStr">
        <is>
          <t>PD-004-L</t>
        </is>
      </c>
      <c r="B56" s="20" t="inlineStr">
        <is>
          <t>PD-004</t>
        </is>
      </c>
      <c r="C56" s="9" t="inlineStr">
        <is>
          <t>Rosé Off-Shoulder Mini</t>
        </is>
      </c>
      <c r="D56" s="9" t="inlineStr">
        <is>
          <t>Dresses</t>
        </is>
      </c>
      <c r="E56" s="20" t="inlineStr">
        <is>
          <t>L</t>
        </is>
      </c>
      <c r="F56" s="20" t="inlineStr">
        <is>
          <t>WH-HYD-01</t>
        </is>
      </c>
      <c r="G56" s="9" t="inlineStr">
        <is>
          <t>Hyderabad (Telangana)</t>
        </is>
      </c>
      <c r="H56" s="10" t="n">
        <v>92</v>
      </c>
      <c r="I56" s="10" t="n">
        <v>30</v>
      </c>
      <c r="J56" s="11" t="n">
        <v>1800</v>
      </c>
      <c r="K56" s="11" t="n">
        <v>4900</v>
      </c>
      <c r="L56" s="11">
        <f>H56*J56</f>
        <v/>
      </c>
      <c r="M56" s="20">
        <f>IF(H56&lt;=I56, "REORDER NOW", "HEALTHY")</f>
        <v/>
      </c>
    </row>
    <row r="57" ht="19" customHeight="1">
      <c r="A57" s="21" t="inlineStr">
        <is>
          <t>PD-004-L</t>
        </is>
      </c>
      <c r="B57" s="21" t="inlineStr">
        <is>
          <t>PD-004</t>
        </is>
      </c>
      <c r="C57" s="12" t="inlineStr">
        <is>
          <t>Rosé Off-Shoulder Mini</t>
        </is>
      </c>
      <c r="D57" s="12" t="inlineStr">
        <is>
          <t>Dresses</t>
        </is>
      </c>
      <c r="E57" s="21" t="inlineStr">
        <is>
          <t>L</t>
        </is>
      </c>
      <c r="F57" s="21" t="inlineStr">
        <is>
          <t>WH-BLR-02</t>
        </is>
      </c>
      <c r="G57" s="12" t="inlineStr">
        <is>
          <t>Bengaluru (Karnataka)</t>
        </is>
      </c>
      <c r="H57" s="13" t="n">
        <v>48</v>
      </c>
      <c r="I57" s="13" t="n">
        <v>30</v>
      </c>
      <c r="J57" s="14" t="n">
        <v>1800</v>
      </c>
      <c r="K57" s="14" t="n">
        <v>4900</v>
      </c>
      <c r="L57" s="14">
        <f>H57*J57</f>
        <v/>
      </c>
      <c r="M57" s="21">
        <f>IF(H57&lt;=I57, "REORDER NOW", "HEALTHY")</f>
        <v/>
      </c>
    </row>
    <row r="58" ht="19" customHeight="1">
      <c r="A58" s="20" t="inlineStr">
        <is>
          <t>PD-004-L</t>
        </is>
      </c>
      <c r="B58" s="20" t="inlineStr">
        <is>
          <t>PD-004</t>
        </is>
      </c>
      <c r="C58" s="9" t="inlineStr">
        <is>
          <t>Rosé Off-Shoulder Mini</t>
        </is>
      </c>
      <c r="D58" s="9" t="inlineStr">
        <is>
          <t>Dresses</t>
        </is>
      </c>
      <c r="E58" s="20" t="inlineStr">
        <is>
          <t>L</t>
        </is>
      </c>
      <c r="F58" s="20" t="inlineStr">
        <is>
          <t>WH-DEL-03</t>
        </is>
      </c>
      <c r="G58" s="9" t="inlineStr">
        <is>
          <t>Delhi NCR (Haryana)</t>
        </is>
      </c>
      <c r="H58" s="10" t="n">
        <v>118</v>
      </c>
      <c r="I58" s="10" t="n">
        <v>30</v>
      </c>
      <c r="J58" s="11" t="n">
        <v>1800</v>
      </c>
      <c r="K58" s="11" t="n">
        <v>4900</v>
      </c>
      <c r="L58" s="11">
        <f>H58*J58</f>
        <v/>
      </c>
      <c r="M58" s="20">
        <f>IF(H58&lt;=I58, "REORDER NOW", "HEALTHY")</f>
        <v/>
      </c>
    </row>
    <row r="59" ht="19" customHeight="1">
      <c r="A59" s="21" t="inlineStr">
        <is>
          <t>PD-004-XL</t>
        </is>
      </c>
      <c r="B59" s="21" t="inlineStr">
        <is>
          <t>PD-004</t>
        </is>
      </c>
      <c r="C59" s="12" t="inlineStr">
        <is>
          <t>Rosé Off-Shoulder Mini</t>
        </is>
      </c>
      <c r="D59" s="12" t="inlineStr">
        <is>
          <t>Dresses</t>
        </is>
      </c>
      <c r="E59" s="21" t="inlineStr">
        <is>
          <t>XL</t>
        </is>
      </c>
      <c r="F59" s="21" t="inlineStr">
        <is>
          <t>WH-HYD-01</t>
        </is>
      </c>
      <c r="G59" s="12" t="inlineStr">
        <is>
          <t>Hyderabad (Telangana)</t>
        </is>
      </c>
      <c r="H59" s="13" t="n">
        <v>20</v>
      </c>
      <c r="I59" s="13" t="n">
        <v>30</v>
      </c>
      <c r="J59" s="14" t="n">
        <v>1800</v>
      </c>
      <c r="K59" s="14" t="n">
        <v>4900</v>
      </c>
      <c r="L59" s="14">
        <f>H59*J59</f>
        <v/>
      </c>
      <c r="M59" s="21">
        <f>IF(H59&lt;=I59, "REORDER NOW", "HEALTHY")</f>
        <v/>
      </c>
    </row>
    <row r="60" ht="19" customHeight="1">
      <c r="A60" s="20" t="inlineStr">
        <is>
          <t>PD-004-XL</t>
        </is>
      </c>
      <c r="B60" s="20" t="inlineStr">
        <is>
          <t>PD-004</t>
        </is>
      </c>
      <c r="C60" s="9" t="inlineStr">
        <is>
          <t>Rosé Off-Shoulder Mini</t>
        </is>
      </c>
      <c r="D60" s="9" t="inlineStr">
        <is>
          <t>Dresses</t>
        </is>
      </c>
      <c r="E60" s="20" t="inlineStr">
        <is>
          <t>XL</t>
        </is>
      </c>
      <c r="F60" s="20" t="inlineStr">
        <is>
          <t>WH-BLR-02</t>
        </is>
      </c>
      <c r="G60" s="9" t="inlineStr">
        <is>
          <t>Bengaluru (Karnataka)</t>
        </is>
      </c>
      <c r="H60" s="10" t="n">
        <v>108</v>
      </c>
      <c r="I60" s="10" t="n">
        <v>30</v>
      </c>
      <c r="J60" s="11" t="n">
        <v>1800</v>
      </c>
      <c r="K60" s="11" t="n">
        <v>4900</v>
      </c>
      <c r="L60" s="11">
        <f>H60*J60</f>
        <v/>
      </c>
      <c r="M60" s="20">
        <f>IF(H60&lt;=I60, "REORDER NOW", "HEALTHY")</f>
        <v/>
      </c>
    </row>
    <row r="61" ht="19" customHeight="1">
      <c r="A61" s="21" t="inlineStr">
        <is>
          <t>PD-004-XL</t>
        </is>
      </c>
      <c r="B61" s="21" t="inlineStr">
        <is>
          <t>PD-004</t>
        </is>
      </c>
      <c r="C61" s="12" t="inlineStr">
        <is>
          <t>Rosé Off-Shoulder Mini</t>
        </is>
      </c>
      <c r="D61" s="12" t="inlineStr">
        <is>
          <t>Dresses</t>
        </is>
      </c>
      <c r="E61" s="21" t="inlineStr">
        <is>
          <t>XL</t>
        </is>
      </c>
      <c r="F61" s="21" t="inlineStr">
        <is>
          <t>WH-DEL-03</t>
        </is>
      </c>
      <c r="G61" s="12" t="inlineStr">
        <is>
          <t>Delhi NCR (Haryana)</t>
        </is>
      </c>
      <c r="H61" s="13" t="n">
        <v>73</v>
      </c>
      <c r="I61" s="13" t="n">
        <v>30</v>
      </c>
      <c r="J61" s="14" t="n">
        <v>1800</v>
      </c>
      <c r="K61" s="14" t="n">
        <v>4900</v>
      </c>
      <c r="L61" s="14">
        <f>H61*J61</f>
        <v/>
      </c>
      <c r="M61" s="21">
        <f>IF(H61&lt;=I61, "REORDER NOW", "HEALTHY")</f>
        <v/>
      </c>
    </row>
    <row r="62" ht="19" customHeight="1">
      <c r="A62" s="20" t="inlineStr">
        <is>
          <t>PD-005-XS</t>
        </is>
      </c>
      <c r="B62" s="20" t="inlineStr">
        <is>
          <t>PD-005</t>
        </is>
      </c>
      <c r="C62" s="9" t="inlineStr">
        <is>
          <t>Shiraz Wrap Evening Dress</t>
        </is>
      </c>
      <c r="D62" s="9" t="inlineStr">
        <is>
          <t>Dresses</t>
        </is>
      </c>
      <c r="E62" s="20" t="inlineStr">
        <is>
          <t>XS</t>
        </is>
      </c>
      <c r="F62" s="20" t="inlineStr">
        <is>
          <t>WH-HYD-01</t>
        </is>
      </c>
      <c r="G62" s="9" t="inlineStr">
        <is>
          <t>Hyderabad (Telangana)</t>
        </is>
      </c>
      <c r="H62" s="10" t="n">
        <v>83</v>
      </c>
      <c r="I62" s="10" t="n">
        <v>30</v>
      </c>
      <c r="J62" s="11" t="n">
        <v>3500</v>
      </c>
      <c r="K62" s="11" t="n">
        <v>9200</v>
      </c>
      <c r="L62" s="11">
        <f>H62*J62</f>
        <v/>
      </c>
      <c r="M62" s="20">
        <f>IF(H62&lt;=I62, "REORDER NOW", "HEALTHY")</f>
        <v/>
      </c>
    </row>
    <row r="63" ht="19" customHeight="1">
      <c r="A63" s="21" t="inlineStr">
        <is>
          <t>PD-005-XS</t>
        </is>
      </c>
      <c r="B63" s="21" t="inlineStr">
        <is>
          <t>PD-005</t>
        </is>
      </c>
      <c r="C63" s="12" t="inlineStr">
        <is>
          <t>Shiraz Wrap Evening Dress</t>
        </is>
      </c>
      <c r="D63" s="12" t="inlineStr">
        <is>
          <t>Dresses</t>
        </is>
      </c>
      <c r="E63" s="21" t="inlineStr">
        <is>
          <t>XS</t>
        </is>
      </c>
      <c r="F63" s="21" t="inlineStr">
        <is>
          <t>WH-BLR-02</t>
        </is>
      </c>
      <c r="G63" s="12" t="inlineStr">
        <is>
          <t>Bengaluru (Karnataka)</t>
        </is>
      </c>
      <c r="H63" s="13" t="n">
        <v>30</v>
      </c>
      <c r="I63" s="13" t="n">
        <v>30</v>
      </c>
      <c r="J63" s="14" t="n">
        <v>3500</v>
      </c>
      <c r="K63" s="14" t="n">
        <v>9200</v>
      </c>
      <c r="L63" s="14">
        <f>H63*J63</f>
        <v/>
      </c>
      <c r="M63" s="21">
        <f>IF(H63&lt;=I63, "REORDER NOW", "HEALTHY")</f>
        <v/>
      </c>
    </row>
    <row r="64" ht="19" customHeight="1">
      <c r="A64" s="20" t="inlineStr">
        <is>
          <t>PD-005-XS</t>
        </is>
      </c>
      <c r="B64" s="20" t="inlineStr">
        <is>
          <t>PD-005</t>
        </is>
      </c>
      <c r="C64" s="9" t="inlineStr">
        <is>
          <t>Shiraz Wrap Evening Dress</t>
        </is>
      </c>
      <c r="D64" s="9" t="inlineStr">
        <is>
          <t>Dresses</t>
        </is>
      </c>
      <c r="E64" s="20" t="inlineStr">
        <is>
          <t>XS</t>
        </is>
      </c>
      <c r="F64" s="20" t="inlineStr">
        <is>
          <t>WH-DEL-03</t>
        </is>
      </c>
      <c r="G64" s="9" t="inlineStr">
        <is>
          <t>Delhi NCR (Haryana)</t>
        </is>
      </c>
      <c r="H64" s="10" t="n">
        <v>63</v>
      </c>
      <c r="I64" s="10" t="n">
        <v>30</v>
      </c>
      <c r="J64" s="11" t="n">
        <v>3500</v>
      </c>
      <c r="K64" s="11" t="n">
        <v>9200</v>
      </c>
      <c r="L64" s="11">
        <f>H64*J64</f>
        <v/>
      </c>
      <c r="M64" s="20">
        <f>IF(H64&lt;=I64, "REORDER NOW", "HEALTHY")</f>
        <v/>
      </c>
    </row>
    <row r="65" ht="19" customHeight="1">
      <c r="A65" s="21" t="inlineStr">
        <is>
          <t>PD-005-S</t>
        </is>
      </c>
      <c r="B65" s="21" t="inlineStr">
        <is>
          <t>PD-005</t>
        </is>
      </c>
      <c r="C65" s="12" t="inlineStr">
        <is>
          <t>Shiraz Wrap Evening Dress</t>
        </is>
      </c>
      <c r="D65" s="12" t="inlineStr">
        <is>
          <t>Dresses</t>
        </is>
      </c>
      <c r="E65" s="21" t="inlineStr">
        <is>
          <t>S</t>
        </is>
      </c>
      <c r="F65" s="21" t="inlineStr">
        <is>
          <t>WH-HYD-01</t>
        </is>
      </c>
      <c r="G65" s="12" t="inlineStr">
        <is>
          <t>Hyderabad (Telangana)</t>
        </is>
      </c>
      <c r="H65" s="13" t="n">
        <v>25</v>
      </c>
      <c r="I65" s="13" t="n">
        <v>30</v>
      </c>
      <c r="J65" s="14" t="n">
        <v>3500</v>
      </c>
      <c r="K65" s="14" t="n">
        <v>9200</v>
      </c>
      <c r="L65" s="14">
        <f>H65*J65</f>
        <v/>
      </c>
      <c r="M65" s="21">
        <f>IF(H65&lt;=I65, "REORDER NOW", "HEALTHY")</f>
        <v/>
      </c>
    </row>
    <row r="66" ht="19" customHeight="1">
      <c r="A66" s="20" t="inlineStr">
        <is>
          <t>PD-005-S</t>
        </is>
      </c>
      <c r="B66" s="20" t="inlineStr">
        <is>
          <t>PD-005</t>
        </is>
      </c>
      <c r="C66" s="9" t="inlineStr">
        <is>
          <t>Shiraz Wrap Evening Dress</t>
        </is>
      </c>
      <c r="D66" s="9" t="inlineStr">
        <is>
          <t>Dresses</t>
        </is>
      </c>
      <c r="E66" s="20" t="inlineStr">
        <is>
          <t>S</t>
        </is>
      </c>
      <c r="F66" s="20" t="inlineStr">
        <is>
          <t>WH-BLR-02</t>
        </is>
      </c>
      <c r="G66" s="9" t="inlineStr">
        <is>
          <t>Bengaluru (Karnataka)</t>
        </is>
      </c>
      <c r="H66" s="10" t="n">
        <v>85</v>
      </c>
      <c r="I66" s="10" t="n">
        <v>30</v>
      </c>
      <c r="J66" s="11" t="n">
        <v>3500</v>
      </c>
      <c r="K66" s="11" t="n">
        <v>9200</v>
      </c>
      <c r="L66" s="11">
        <f>H66*J66</f>
        <v/>
      </c>
      <c r="M66" s="20">
        <f>IF(H66&lt;=I66, "REORDER NOW", "HEALTHY")</f>
        <v/>
      </c>
    </row>
    <row r="67" ht="19" customHeight="1">
      <c r="A67" s="21" t="inlineStr">
        <is>
          <t>PD-005-S</t>
        </is>
      </c>
      <c r="B67" s="21" t="inlineStr">
        <is>
          <t>PD-005</t>
        </is>
      </c>
      <c r="C67" s="12" t="inlineStr">
        <is>
          <t>Shiraz Wrap Evening Dress</t>
        </is>
      </c>
      <c r="D67" s="12" t="inlineStr">
        <is>
          <t>Dresses</t>
        </is>
      </c>
      <c r="E67" s="21" t="inlineStr">
        <is>
          <t>S</t>
        </is>
      </c>
      <c r="F67" s="21" t="inlineStr">
        <is>
          <t>WH-DEL-03</t>
        </is>
      </c>
      <c r="G67" s="12" t="inlineStr">
        <is>
          <t>Delhi NCR (Haryana)</t>
        </is>
      </c>
      <c r="H67" s="13" t="n">
        <v>52</v>
      </c>
      <c r="I67" s="13" t="n">
        <v>30</v>
      </c>
      <c r="J67" s="14" t="n">
        <v>3500</v>
      </c>
      <c r="K67" s="14" t="n">
        <v>9200</v>
      </c>
      <c r="L67" s="14">
        <f>H67*J67</f>
        <v/>
      </c>
      <c r="M67" s="21">
        <f>IF(H67&lt;=I67, "REORDER NOW", "HEALTHY")</f>
        <v/>
      </c>
    </row>
    <row r="68" ht="19" customHeight="1">
      <c r="A68" s="20" t="inlineStr">
        <is>
          <t>PD-005-M</t>
        </is>
      </c>
      <c r="B68" s="20" t="inlineStr">
        <is>
          <t>PD-005</t>
        </is>
      </c>
      <c r="C68" s="9" t="inlineStr">
        <is>
          <t>Shiraz Wrap Evening Dress</t>
        </is>
      </c>
      <c r="D68" s="9" t="inlineStr">
        <is>
          <t>Dresses</t>
        </is>
      </c>
      <c r="E68" s="20" t="inlineStr">
        <is>
          <t>M</t>
        </is>
      </c>
      <c r="F68" s="20" t="inlineStr">
        <is>
          <t>WH-HYD-01</t>
        </is>
      </c>
      <c r="G68" s="9" t="inlineStr">
        <is>
          <t>Hyderabad (Telangana)</t>
        </is>
      </c>
      <c r="H68" s="10" t="n">
        <v>95</v>
      </c>
      <c r="I68" s="10" t="n">
        <v>30</v>
      </c>
      <c r="J68" s="11" t="n">
        <v>3500</v>
      </c>
      <c r="K68" s="11" t="n">
        <v>9200</v>
      </c>
      <c r="L68" s="11">
        <f>H68*J68</f>
        <v/>
      </c>
      <c r="M68" s="20">
        <f>IF(H68&lt;=I68, "REORDER NOW", "HEALTHY")</f>
        <v/>
      </c>
    </row>
    <row r="69" ht="19" customHeight="1">
      <c r="A69" s="21" t="inlineStr">
        <is>
          <t>PD-005-M</t>
        </is>
      </c>
      <c r="B69" s="21" t="inlineStr">
        <is>
          <t>PD-005</t>
        </is>
      </c>
      <c r="C69" s="12" t="inlineStr">
        <is>
          <t>Shiraz Wrap Evening Dress</t>
        </is>
      </c>
      <c r="D69" s="12" t="inlineStr">
        <is>
          <t>Dresses</t>
        </is>
      </c>
      <c r="E69" s="21" t="inlineStr">
        <is>
          <t>M</t>
        </is>
      </c>
      <c r="F69" s="21" t="inlineStr">
        <is>
          <t>WH-BLR-02</t>
        </is>
      </c>
      <c r="G69" s="12" t="inlineStr">
        <is>
          <t>Bengaluru (Karnataka)</t>
        </is>
      </c>
      <c r="H69" s="13" t="n">
        <v>94</v>
      </c>
      <c r="I69" s="13" t="n">
        <v>30</v>
      </c>
      <c r="J69" s="14" t="n">
        <v>3500</v>
      </c>
      <c r="K69" s="14" t="n">
        <v>9200</v>
      </c>
      <c r="L69" s="14">
        <f>H69*J69</f>
        <v/>
      </c>
      <c r="M69" s="21">
        <f>IF(H69&lt;=I69, "REORDER NOW", "HEALTHY")</f>
        <v/>
      </c>
    </row>
    <row r="70" ht="19" customHeight="1">
      <c r="A70" s="20" t="inlineStr">
        <is>
          <t>PD-005-M</t>
        </is>
      </c>
      <c r="B70" s="20" t="inlineStr">
        <is>
          <t>PD-005</t>
        </is>
      </c>
      <c r="C70" s="9" t="inlineStr">
        <is>
          <t>Shiraz Wrap Evening Dress</t>
        </is>
      </c>
      <c r="D70" s="9" t="inlineStr">
        <is>
          <t>Dresses</t>
        </is>
      </c>
      <c r="E70" s="20" t="inlineStr">
        <is>
          <t>M</t>
        </is>
      </c>
      <c r="F70" s="20" t="inlineStr">
        <is>
          <t>WH-DEL-03</t>
        </is>
      </c>
      <c r="G70" s="9" t="inlineStr">
        <is>
          <t>Delhi NCR (Haryana)</t>
        </is>
      </c>
      <c r="H70" s="10" t="n">
        <v>61</v>
      </c>
      <c r="I70" s="10" t="n">
        <v>30</v>
      </c>
      <c r="J70" s="11" t="n">
        <v>3500</v>
      </c>
      <c r="K70" s="11" t="n">
        <v>9200</v>
      </c>
      <c r="L70" s="11">
        <f>H70*J70</f>
        <v/>
      </c>
      <c r="M70" s="20">
        <f>IF(H70&lt;=I70, "REORDER NOW", "HEALTHY")</f>
        <v/>
      </c>
    </row>
    <row r="71" ht="19" customHeight="1">
      <c r="A71" s="21" t="inlineStr">
        <is>
          <t>PD-005-L</t>
        </is>
      </c>
      <c r="B71" s="21" t="inlineStr">
        <is>
          <t>PD-005</t>
        </is>
      </c>
      <c r="C71" s="12" t="inlineStr">
        <is>
          <t>Shiraz Wrap Evening Dress</t>
        </is>
      </c>
      <c r="D71" s="12" t="inlineStr">
        <is>
          <t>Dresses</t>
        </is>
      </c>
      <c r="E71" s="21" t="inlineStr">
        <is>
          <t>L</t>
        </is>
      </c>
      <c r="F71" s="21" t="inlineStr">
        <is>
          <t>WH-HYD-01</t>
        </is>
      </c>
      <c r="G71" s="12" t="inlineStr">
        <is>
          <t>Hyderabad (Telangana)</t>
        </is>
      </c>
      <c r="H71" s="13" t="n">
        <v>88</v>
      </c>
      <c r="I71" s="13" t="n">
        <v>30</v>
      </c>
      <c r="J71" s="14" t="n">
        <v>3500</v>
      </c>
      <c r="K71" s="14" t="n">
        <v>9200</v>
      </c>
      <c r="L71" s="14">
        <f>H71*J71</f>
        <v/>
      </c>
      <c r="M71" s="21">
        <f>IF(H71&lt;=I71, "REORDER NOW", "HEALTHY")</f>
        <v/>
      </c>
    </row>
    <row r="72" ht="19" customHeight="1">
      <c r="A72" s="20" t="inlineStr">
        <is>
          <t>PD-005-L</t>
        </is>
      </c>
      <c r="B72" s="20" t="inlineStr">
        <is>
          <t>PD-005</t>
        </is>
      </c>
      <c r="C72" s="9" t="inlineStr">
        <is>
          <t>Shiraz Wrap Evening Dress</t>
        </is>
      </c>
      <c r="D72" s="9" t="inlineStr">
        <is>
          <t>Dresses</t>
        </is>
      </c>
      <c r="E72" s="20" t="inlineStr">
        <is>
          <t>L</t>
        </is>
      </c>
      <c r="F72" s="20" t="inlineStr">
        <is>
          <t>WH-BLR-02</t>
        </is>
      </c>
      <c r="G72" s="9" t="inlineStr">
        <is>
          <t>Bengaluru (Karnataka)</t>
        </is>
      </c>
      <c r="H72" s="10" t="n">
        <v>39</v>
      </c>
      <c r="I72" s="10" t="n">
        <v>30</v>
      </c>
      <c r="J72" s="11" t="n">
        <v>3500</v>
      </c>
      <c r="K72" s="11" t="n">
        <v>9200</v>
      </c>
      <c r="L72" s="11">
        <f>H72*J72</f>
        <v/>
      </c>
      <c r="M72" s="20">
        <f>IF(H72&lt;=I72, "REORDER NOW", "HEALTHY")</f>
        <v/>
      </c>
    </row>
    <row r="73" ht="19" customHeight="1">
      <c r="A73" s="21" t="inlineStr">
        <is>
          <t>PD-005-L</t>
        </is>
      </c>
      <c r="B73" s="21" t="inlineStr">
        <is>
          <t>PD-005</t>
        </is>
      </c>
      <c r="C73" s="12" t="inlineStr">
        <is>
          <t>Shiraz Wrap Evening Dress</t>
        </is>
      </c>
      <c r="D73" s="12" t="inlineStr">
        <is>
          <t>Dresses</t>
        </is>
      </c>
      <c r="E73" s="21" t="inlineStr">
        <is>
          <t>L</t>
        </is>
      </c>
      <c r="F73" s="21" t="inlineStr">
        <is>
          <t>WH-DEL-03</t>
        </is>
      </c>
      <c r="G73" s="12" t="inlineStr">
        <is>
          <t>Delhi NCR (Haryana)</t>
        </is>
      </c>
      <c r="H73" s="13" t="n">
        <v>105</v>
      </c>
      <c r="I73" s="13" t="n">
        <v>30</v>
      </c>
      <c r="J73" s="14" t="n">
        <v>3500</v>
      </c>
      <c r="K73" s="14" t="n">
        <v>9200</v>
      </c>
      <c r="L73" s="14">
        <f>H73*J73</f>
        <v/>
      </c>
      <c r="M73" s="21">
        <f>IF(H73&lt;=I73, "REORDER NOW", "HEALTHY")</f>
        <v/>
      </c>
    </row>
    <row r="74" ht="19" customHeight="1">
      <c r="A74" s="20" t="inlineStr">
        <is>
          <t>PD-005-XL</t>
        </is>
      </c>
      <c r="B74" s="20" t="inlineStr">
        <is>
          <t>PD-005</t>
        </is>
      </c>
      <c r="C74" s="9" t="inlineStr">
        <is>
          <t>Shiraz Wrap Evening Dress</t>
        </is>
      </c>
      <c r="D74" s="9" t="inlineStr">
        <is>
          <t>Dresses</t>
        </is>
      </c>
      <c r="E74" s="20" t="inlineStr">
        <is>
          <t>XL</t>
        </is>
      </c>
      <c r="F74" s="20" t="inlineStr">
        <is>
          <t>WH-HYD-01</t>
        </is>
      </c>
      <c r="G74" s="9" t="inlineStr">
        <is>
          <t>Hyderabad (Telangana)</t>
        </is>
      </c>
      <c r="H74" s="10" t="n">
        <v>23</v>
      </c>
      <c r="I74" s="10" t="n">
        <v>30</v>
      </c>
      <c r="J74" s="11" t="n">
        <v>3500</v>
      </c>
      <c r="K74" s="11" t="n">
        <v>9200</v>
      </c>
      <c r="L74" s="11">
        <f>H74*J74</f>
        <v/>
      </c>
      <c r="M74" s="20">
        <f>IF(H74&lt;=I74, "REORDER NOW", "HEALTHY")</f>
        <v/>
      </c>
    </row>
    <row r="75" ht="19" customHeight="1">
      <c r="A75" s="21" t="inlineStr">
        <is>
          <t>PD-005-XL</t>
        </is>
      </c>
      <c r="B75" s="21" t="inlineStr">
        <is>
          <t>PD-005</t>
        </is>
      </c>
      <c r="C75" s="12" t="inlineStr">
        <is>
          <t>Shiraz Wrap Evening Dress</t>
        </is>
      </c>
      <c r="D75" s="12" t="inlineStr">
        <is>
          <t>Dresses</t>
        </is>
      </c>
      <c r="E75" s="21" t="inlineStr">
        <is>
          <t>XL</t>
        </is>
      </c>
      <c r="F75" s="21" t="inlineStr">
        <is>
          <t>WH-BLR-02</t>
        </is>
      </c>
      <c r="G75" s="12" t="inlineStr">
        <is>
          <t>Bengaluru (Karnataka)</t>
        </is>
      </c>
      <c r="H75" s="13" t="n">
        <v>20</v>
      </c>
      <c r="I75" s="13" t="n">
        <v>30</v>
      </c>
      <c r="J75" s="14" t="n">
        <v>3500</v>
      </c>
      <c r="K75" s="14" t="n">
        <v>9200</v>
      </c>
      <c r="L75" s="14">
        <f>H75*J75</f>
        <v/>
      </c>
      <c r="M75" s="21">
        <f>IF(H75&lt;=I75, "REORDER NOW", "HEALTHY")</f>
        <v/>
      </c>
    </row>
    <row r="76" ht="19" customHeight="1">
      <c r="A76" s="20" t="inlineStr">
        <is>
          <t>PD-005-XL</t>
        </is>
      </c>
      <c r="B76" s="20" t="inlineStr">
        <is>
          <t>PD-005</t>
        </is>
      </c>
      <c r="C76" s="9" t="inlineStr">
        <is>
          <t>Shiraz Wrap Evening Dress</t>
        </is>
      </c>
      <c r="D76" s="9" t="inlineStr">
        <is>
          <t>Dresses</t>
        </is>
      </c>
      <c r="E76" s="20" t="inlineStr">
        <is>
          <t>XL</t>
        </is>
      </c>
      <c r="F76" s="20" t="inlineStr">
        <is>
          <t>WH-DEL-03</t>
        </is>
      </c>
      <c r="G76" s="9" t="inlineStr">
        <is>
          <t>Delhi NCR (Haryana)</t>
        </is>
      </c>
      <c r="H76" s="10" t="n">
        <v>99</v>
      </c>
      <c r="I76" s="10" t="n">
        <v>30</v>
      </c>
      <c r="J76" s="11" t="n">
        <v>3500</v>
      </c>
      <c r="K76" s="11" t="n">
        <v>9200</v>
      </c>
      <c r="L76" s="11">
        <f>H76*J76</f>
        <v/>
      </c>
      <c r="M76" s="20">
        <f>IF(H76&lt;=I76, "REORDER NOW", "HEALTHY")</f>
        <v/>
      </c>
    </row>
    <row r="77" ht="19" customHeight="1">
      <c r="A77" s="21" t="inlineStr">
        <is>
          <t>PD-006-XS</t>
        </is>
      </c>
      <c r="B77" s="21" t="inlineStr">
        <is>
          <t>PD-006</t>
        </is>
      </c>
      <c r="C77" s="12" t="inlineStr">
        <is>
          <t>Chiffon Crimson Blouse</t>
        </is>
      </c>
      <c r="D77" s="12" t="inlineStr">
        <is>
          <t>Tops</t>
        </is>
      </c>
      <c r="E77" s="21" t="inlineStr">
        <is>
          <t>XS</t>
        </is>
      </c>
      <c r="F77" s="21" t="inlineStr">
        <is>
          <t>WH-HYD-01</t>
        </is>
      </c>
      <c r="G77" s="12" t="inlineStr">
        <is>
          <t>Hyderabad (Telangana)</t>
        </is>
      </c>
      <c r="H77" s="13" t="n">
        <v>44</v>
      </c>
      <c r="I77" s="13" t="n">
        <v>30</v>
      </c>
      <c r="J77" s="14" t="n">
        <v>1100</v>
      </c>
      <c r="K77" s="14" t="n">
        <v>3200</v>
      </c>
      <c r="L77" s="14">
        <f>H77*J77</f>
        <v/>
      </c>
      <c r="M77" s="21">
        <f>IF(H77&lt;=I77, "REORDER NOW", "HEALTHY")</f>
        <v/>
      </c>
    </row>
    <row r="78" ht="19" customHeight="1">
      <c r="A78" s="20" t="inlineStr">
        <is>
          <t>PD-006-XS</t>
        </is>
      </c>
      <c r="B78" s="20" t="inlineStr">
        <is>
          <t>PD-006</t>
        </is>
      </c>
      <c r="C78" s="9" t="inlineStr">
        <is>
          <t>Chiffon Crimson Blouse</t>
        </is>
      </c>
      <c r="D78" s="9" t="inlineStr">
        <is>
          <t>Tops</t>
        </is>
      </c>
      <c r="E78" s="20" t="inlineStr">
        <is>
          <t>XS</t>
        </is>
      </c>
      <c r="F78" s="20" t="inlineStr">
        <is>
          <t>WH-BLR-02</t>
        </is>
      </c>
      <c r="G78" s="9" t="inlineStr">
        <is>
          <t>Bengaluru (Karnataka)</t>
        </is>
      </c>
      <c r="H78" s="10" t="n">
        <v>113</v>
      </c>
      <c r="I78" s="10" t="n">
        <v>30</v>
      </c>
      <c r="J78" s="11" t="n">
        <v>1100</v>
      </c>
      <c r="K78" s="11" t="n">
        <v>3200</v>
      </c>
      <c r="L78" s="11">
        <f>H78*J78</f>
        <v/>
      </c>
      <c r="M78" s="20">
        <f>IF(H78&lt;=I78, "REORDER NOW", "HEALTHY")</f>
        <v/>
      </c>
    </row>
    <row r="79" ht="19" customHeight="1">
      <c r="A79" s="21" t="inlineStr">
        <is>
          <t>PD-006-XS</t>
        </is>
      </c>
      <c r="B79" s="21" t="inlineStr">
        <is>
          <t>PD-006</t>
        </is>
      </c>
      <c r="C79" s="12" t="inlineStr">
        <is>
          <t>Chiffon Crimson Blouse</t>
        </is>
      </c>
      <c r="D79" s="12" t="inlineStr">
        <is>
          <t>Tops</t>
        </is>
      </c>
      <c r="E79" s="21" t="inlineStr">
        <is>
          <t>XS</t>
        </is>
      </c>
      <c r="F79" s="21" t="inlineStr">
        <is>
          <t>WH-DEL-03</t>
        </is>
      </c>
      <c r="G79" s="12" t="inlineStr">
        <is>
          <t>Delhi NCR (Haryana)</t>
        </is>
      </c>
      <c r="H79" s="13" t="n">
        <v>52</v>
      </c>
      <c r="I79" s="13" t="n">
        <v>30</v>
      </c>
      <c r="J79" s="14" t="n">
        <v>1100</v>
      </c>
      <c r="K79" s="14" t="n">
        <v>3200</v>
      </c>
      <c r="L79" s="14">
        <f>H79*J79</f>
        <v/>
      </c>
      <c r="M79" s="21">
        <f>IF(H79&lt;=I79, "REORDER NOW", "HEALTHY")</f>
        <v/>
      </c>
    </row>
    <row r="80" ht="19" customHeight="1">
      <c r="A80" s="20" t="inlineStr">
        <is>
          <t>PD-006-S</t>
        </is>
      </c>
      <c r="B80" s="20" t="inlineStr">
        <is>
          <t>PD-006</t>
        </is>
      </c>
      <c r="C80" s="9" t="inlineStr">
        <is>
          <t>Chiffon Crimson Blouse</t>
        </is>
      </c>
      <c r="D80" s="9" t="inlineStr">
        <is>
          <t>Tops</t>
        </is>
      </c>
      <c r="E80" s="20" t="inlineStr">
        <is>
          <t>S</t>
        </is>
      </c>
      <c r="F80" s="20" t="inlineStr">
        <is>
          <t>WH-HYD-01</t>
        </is>
      </c>
      <c r="G80" s="9" t="inlineStr">
        <is>
          <t>Hyderabad (Telangana)</t>
        </is>
      </c>
      <c r="H80" s="10" t="n">
        <v>25</v>
      </c>
      <c r="I80" s="10" t="n">
        <v>30</v>
      </c>
      <c r="J80" s="11" t="n">
        <v>1100</v>
      </c>
      <c r="K80" s="11" t="n">
        <v>3200</v>
      </c>
      <c r="L80" s="11">
        <f>H80*J80</f>
        <v/>
      </c>
      <c r="M80" s="20">
        <f>IF(H80&lt;=I80, "REORDER NOW", "HEALTHY")</f>
        <v/>
      </c>
    </row>
    <row r="81" ht="19" customHeight="1">
      <c r="A81" s="21" t="inlineStr">
        <is>
          <t>PD-006-S</t>
        </is>
      </c>
      <c r="B81" s="21" t="inlineStr">
        <is>
          <t>PD-006</t>
        </is>
      </c>
      <c r="C81" s="12" t="inlineStr">
        <is>
          <t>Chiffon Crimson Blouse</t>
        </is>
      </c>
      <c r="D81" s="12" t="inlineStr">
        <is>
          <t>Tops</t>
        </is>
      </c>
      <c r="E81" s="21" t="inlineStr">
        <is>
          <t>S</t>
        </is>
      </c>
      <c r="F81" s="21" t="inlineStr">
        <is>
          <t>WH-BLR-02</t>
        </is>
      </c>
      <c r="G81" s="12" t="inlineStr">
        <is>
          <t>Bengaluru (Karnataka)</t>
        </is>
      </c>
      <c r="H81" s="13" t="n">
        <v>44</v>
      </c>
      <c r="I81" s="13" t="n">
        <v>30</v>
      </c>
      <c r="J81" s="14" t="n">
        <v>1100</v>
      </c>
      <c r="K81" s="14" t="n">
        <v>3200</v>
      </c>
      <c r="L81" s="14">
        <f>H81*J81</f>
        <v/>
      </c>
      <c r="M81" s="21">
        <f>IF(H81&lt;=I81, "REORDER NOW", "HEALTHY")</f>
        <v/>
      </c>
    </row>
    <row r="82" ht="19" customHeight="1">
      <c r="A82" s="20" t="inlineStr">
        <is>
          <t>PD-006-S</t>
        </is>
      </c>
      <c r="B82" s="20" t="inlineStr">
        <is>
          <t>PD-006</t>
        </is>
      </c>
      <c r="C82" s="9" t="inlineStr">
        <is>
          <t>Chiffon Crimson Blouse</t>
        </is>
      </c>
      <c r="D82" s="9" t="inlineStr">
        <is>
          <t>Tops</t>
        </is>
      </c>
      <c r="E82" s="20" t="inlineStr">
        <is>
          <t>S</t>
        </is>
      </c>
      <c r="F82" s="20" t="inlineStr">
        <is>
          <t>WH-DEL-03</t>
        </is>
      </c>
      <c r="G82" s="9" t="inlineStr">
        <is>
          <t>Delhi NCR (Haryana)</t>
        </is>
      </c>
      <c r="H82" s="10" t="n">
        <v>27</v>
      </c>
      <c r="I82" s="10" t="n">
        <v>30</v>
      </c>
      <c r="J82" s="11" t="n">
        <v>1100</v>
      </c>
      <c r="K82" s="11" t="n">
        <v>3200</v>
      </c>
      <c r="L82" s="11">
        <f>H82*J82</f>
        <v/>
      </c>
      <c r="M82" s="20">
        <f>IF(H82&lt;=I82, "REORDER NOW", "HEALTHY")</f>
        <v/>
      </c>
    </row>
    <row r="83" ht="19" customHeight="1">
      <c r="A83" s="21" t="inlineStr">
        <is>
          <t>PD-006-M</t>
        </is>
      </c>
      <c r="B83" s="21" t="inlineStr">
        <is>
          <t>PD-006</t>
        </is>
      </c>
      <c r="C83" s="12" t="inlineStr">
        <is>
          <t>Chiffon Crimson Blouse</t>
        </is>
      </c>
      <c r="D83" s="12" t="inlineStr">
        <is>
          <t>Tops</t>
        </is>
      </c>
      <c r="E83" s="21" t="inlineStr">
        <is>
          <t>M</t>
        </is>
      </c>
      <c r="F83" s="21" t="inlineStr">
        <is>
          <t>WH-HYD-01</t>
        </is>
      </c>
      <c r="G83" s="12" t="inlineStr">
        <is>
          <t>Hyderabad (Telangana)</t>
        </is>
      </c>
      <c r="H83" s="13" t="n">
        <v>63</v>
      </c>
      <c r="I83" s="13" t="n">
        <v>30</v>
      </c>
      <c r="J83" s="14" t="n">
        <v>1100</v>
      </c>
      <c r="K83" s="14" t="n">
        <v>3200</v>
      </c>
      <c r="L83" s="14">
        <f>H83*J83</f>
        <v/>
      </c>
      <c r="M83" s="21">
        <f>IF(H83&lt;=I83, "REORDER NOW", "HEALTHY")</f>
        <v/>
      </c>
    </row>
    <row r="84" ht="19" customHeight="1">
      <c r="A84" s="20" t="inlineStr">
        <is>
          <t>PD-006-M</t>
        </is>
      </c>
      <c r="B84" s="20" t="inlineStr">
        <is>
          <t>PD-006</t>
        </is>
      </c>
      <c r="C84" s="9" t="inlineStr">
        <is>
          <t>Chiffon Crimson Blouse</t>
        </is>
      </c>
      <c r="D84" s="9" t="inlineStr">
        <is>
          <t>Tops</t>
        </is>
      </c>
      <c r="E84" s="20" t="inlineStr">
        <is>
          <t>M</t>
        </is>
      </c>
      <c r="F84" s="20" t="inlineStr">
        <is>
          <t>WH-BLR-02</t>
        </is>
      </c>
      <c r="G84" s="9" t="inlineStr">
        <is>
          <t>Bengaluru (Karnataka)</t>
        </is>
      </c>
      <c r="H84" s="10" t="n">
        <v>50</v>
      </c>
      <c r="I84" s="10" t="n">
        <v>30</v>
      </c>
      <c r="J84" s="11" t="n">
        <v>1100</v>
      </c>
      <c r="K84" s="11" t="n">
        <v>3200</v>
      </c>
      <c r="L84" s="11">
        <f>H84*J84</f>
        <v/>
      </c>
      <c r="M84" s="20">
        <f>IF(H84&lt;=I84, "REORDER NOW", "HEALTHY")</f>
        <v/>
      </c>
    </row>
    <row r="85" ht="19" customHeight="1">
      <c r="A85" s="21" t="inlineStr">
        <is>
          <t>PD-006-M</t>
        </is>
      </c>
      <c r="B85" s="21" t="inlineStr">
        <is>
          <t>PD-006</t>
        </is>
      </c>
      <c r="C85" s="12" t="inlineStr">
        <is>
          <t>Chiffon Crimson Blouse</t>
        </is>
      </c>
      <c r="D85" s="12" t="inlineStr">
        <is>
          <t>Tops</t>
        </is>
      </c>
      <c r="E85" s="21" t="inlineStr">
        <is>
          <t>M</t>
        </is>
      </c>
      <c r="F85" s="21" t="inlineStr">
        <is>
          <t>WH-DEL-03</t>
        </is>
      </c>
      <c r="G85" s="12" t="inlineStr">
        <is>
          <t>Delhi NCR (Haryana)</t>
        </is>
      </c>
      <c r="H85" s="13" t="n">
        <v>73</v>
      </c>
      <c r="I85" s="13" t="n">
        <v>30</v>
      </c>
      <c r="J85" s="14" t="n">
        <v>1100</v>
      </c>
      <c r="K85" s="14" t="n">
        <v>3200</v>
      </c>
      <c r="L85" s="14">
        <f>H85*J85</f>
        <v/>
      </c>
      <c r="M85" s="21">
        <f>IF(H85&lt;=I85, "REORDER NOW", "HEALTHY")</f>
        <v/>
      </c>
    </row>
    <row r="86" ht="19" customHeight="1">
      <c r="A86" s="20" t="inlineStr">
        <is>
          <t>PD-006-L</t>
        </is>
      </c>
      <c r="B86" s="20" t="inlineStr">
        <is>
          <t>PD-006</t>
        </is>
      </c>
      <c r="C86" s="9" t="inlineStr">
        <is>
          <t>Chiffon Crimson Blouse</t>
        </is>
      </c>
      <c r="D86" s="9" t="inlineStr">
        <is>
          <t>Tops</t>
        </is>
      </c>
      <c r="E86" s="20" t="inlineStr">
        <is>
          <t>L</t>
        </is>
      </c>
      <c r="F86" s="20" t="inlineStr">
        <is>
          <t>WH-HYD-01</t>
        </is>
      </c>
      <c r="G86" s="9" t="inlineStr">
        <is>
          <t>Hyderabad (Telangana)</t>
        </is>
      </c>
      <c r="H86" s="10" t="n">
        <v>96</v>
      </c>
      <c r="I86" s="10" t="n">
        <v>30</v>
      </c>
      <c r="J86" s="11" t="n">
        <v>1100</v>
      </c>
      <c r="K86" s="11" t="n">
        <v>3200</v>
      </c>
      <c r="L86" s="11">
        <f>H86*J86</f>
        <v/>
      </c>
      <c r="M86" s="20">
        <f>IF(H86&lt;=I86, "REORDER NOW", "HEALTHY")</f>
        <v/>
      </c>
    </row>
    <row r="87" ht="19" customHeight="1">
      <c r="A87" s="21" t="inlineStr">
        <is>
          <t>PD-006-L</t>
        </is>
      </c>
      <c r="B87" s="21" t="inlineStr">
        <is>
          <t>PD-006</t>
        </is>
      </c>
      <c r="C87" s="12" t="inlineStr">
        <is>
          <t>Chiffon Crimson Blouse</t>
        </is>
      </c>
      <c r="D87" s="12" t="inlineStr">
        <is>
          <t>Tops</t>
        </is>
      </c>
      <c r="E87" s="21" t="inlineStr">
        <is>
          <t>L</t>
        </is>
      </c>
      <c r="F87" s="21" t="inlineStr">
        <is>
          <t>WH-BLR-02</t>
        </is>
      </c>
      <c r="G87" s="12" t="inlineStr">
        <is>
          <t>Bengaluru (Karnataka)</t>
        </is>
      </c>
      <c r="H87" s="13" t="n">
        <v>61</v>
      </c>
      <c r="I87" s="13" t="n">
        <v>30</v>
      </c>
      <c r="J87" s="14" t="n">
        <v>1100</v>
      </c>
      <c r="K87" s="14" t="n">
        <v>3200</v>
      </c>
      <c r="L87" s="14">
        <f>H87*J87</f>
        <v/>
      </c>
      <c r="M87" s="21">
        <f>IF(H87&lt;=I87, "REORDER NOW", "HEALTHY")</f>
        <v/>
      </c>
    </row>
    <row r="88" ht="19" customHeight="1">
      <c r="A88" s="20" t="inlineStr">
        <is>
          <t>PD-006-L</t>
        </is>
      </c>
      <c r="B88" s="20" t="inlineStr">
        <is>
          <t>PD-006</t>
        </is>
      </c>
      <c r="C88" s="9" t="inlineStr">
        <is>
          <t>Chiffon Crimson Blouse</t>
        </is>
      </c>
      <c r="D88" s="9" t="inlineStr">
        <is>
          <t>Tops</t>
        </is>
      </c>
      <c r="E88" s="20" t="inlineStr">
        <is>
          <t>L</t>
        </is>
      </c>
      <c r="F88" s="20" t="inlineStr">
        <is>
          <t>WH-DEL-03</t>
        </is>
      </c>
      <c r="G88" s="9" t="inlineStr">
        <is>
          <t>Delhi NCR (Haryana)</t>
        </is>
      </c>
      <c r="H88" s="10" t="n">
        <v>35</v>
      </c>
      <c r="I88" s="10" t="n">
        <v>30</v>
      </c>
      <c r="J88" s="11" t="n">
        <v>1100</v>
      </c>
      <c r="K88" s="11" t="n">
        <v>3200</v>
      </c>
      <c r="L88" s="11">
        <f>H88*J88</f>
        <v/>
      </c>
      <c r="M88" s="20">
        <f>IF(H88&lt;=I88, "REORDER NOW", "HEALTHY")</f>
        <v/>
      </c>
    </row>
    <row r="89" ht="19" customHeight="1">
      <c r="A89" s="21" t="inlineStr">
        <is>
          <t>PD-006-XL</t>
        </is>
      </c>
      <c r="B89" s="21" t="inlineStr">
        <is>
          <t>PD-006</t>
        </is>
      </c>
      <c r="C89" s="12" t="inlineStr">
        <is>
          <t>Chiffon Crimson Blouse</t>
        </is>
      </c>
      <c r="D89" s="12" t="inlineStr">
        <is>
          <t>Tops</t>
        </is>
      </c>
      <c r="E89" s="21" t="inlineStr">
        <is>
          <t>XL</t>
        </is>
      </c>
      <c r="F89" s="21" t="inlineStr">
        <is>
          <t>WH-HYD-01</t>
        </is>
      </c>
      <c r="G89" s="12" t="inlineStr">
        <is>
          <t>Hyderabad (Telangana)</t>
        </is>
      </c>
      <c r="H89" s="13" t="n">
        <v>62</v>
      </c>
      <c r="I89" s="13" t="n">
        <v>30</v>
      </c>
      <c r="J89" s="14" t="n">
        <v>1100</v>
      </c>
      <c r="K89" s="14" t="n">
        <v>3200</v>
      </c>
      <c r="L89" s="14">
        <f>H89*J89</f>
        <v/>
      </c>
      <c r="M89" s="21">
        <f>IF(H89&lt;=I89, "REORDER NOW", "HEALTHY")</f>
        <v/>
      </c>
    </row>
    <row r="90" ht="19" customHeight="1">
      <c r="A90" s="20" t="inlineStr">
        <is>
          <t>PD-006-XL</t>
        </is>
      </c>
      <c r="B90" s="20" t="inlineStr">
        <is>
          <t>PD-006</t>
        </is>
      </c>
      <c r="C90" s="9" t="inlineStr">
        <is>
          <t>Chiffon Crimson Blouse</t>
        </is>
      </c>
      <c r="D90" s="9" t="inlineStr">
        <is>
          <t>Tops</t>
        </is>
      </c>
      <c r="E90" s="20" t="inlineStr">
        <is>
          <t>XL</t>
        </is>
      </c>
      <c r="F90" s="20" t="inlineStr">
        <is>
          <t>WH-BLR-02</t>
        </is>
      </c>
      <c r="G90" s="9" t="inlineStr">
        <is>
          <t>Bengaluru (Karnataka)</t>
        </is>
      </c>
      <c r="H90" s="10" t="n">
        <v>60</v>
      </c>
      <c r="I90" s="10" t="n">
        <v>30</v>
      </c>
      <c r="J90" s="11" t="n">
        <v>1100</v>
      </c>
      <c r="K90" s="11" t="n">
        <v>3200</v>
      </c>
      <c r="L90" s="11">
        <f>H90*J90</f>
        <v/>
      </c>
      <c r="M90" s="20">
        <f>IF(H90&lt;=I90, "REORDER NOW", "HEALTHY")</f>
        <v/>
      </c>
    </row>
    <row r="91" ht="19" customHeight="1">
      <c r="A91" s="21" t="inlineStr">
        <is>
          <t>PD-006-XL</t>
        </is>
      </c>
      <c r="B91" s="21" t="inlineStr">
        <is>
          <t>PD-006</t>
        </is>
      </c>
      <c r="C91" s="12" t="inlineStr">
        <is>
          <t>Chiffon Crimson Blouse</t>
        </is>
      </c>
      <c r="D91" s="12" t="inlineStr">
        <is>
          <t>Tops</t>
        </is>
      </c>
      <c r="E91" s="21" t="inlineStr">
        <is>
          <t>XL</t>
        </is>
      </c>
      <c r="F91" s="21" t="inlineStr">
        <is>
          <t>WH-DEL-03</t>
        </is>
      </c>
      <c r="G91" s="12" t="inlineStr">
        <is>
          <t>Delhi NCR (Haryana)</t>
        </is>
      </c>
      <c r="H91" s="13" t="n">
        <v>41</v>
      </c>
      <c r="I91" s="13" t="n">
        <v>30</v>
      </c>
      <c r="J91" s="14" t="n">
        <v>1100</v>
      </c>
      <c r="K91" s="14" t="n">
        <v>3200</v>
      </c>
      <c r="L91" s="14">
        <f>H91*J91</f>
        <v/>
      </c>
      <c r="M91" s="21">
        <f>IF(H91&lt;=I91, "REORDER NOW", "HEALTHY")</f>
        <v/>
      </c>
    </row>
    <row r="92" ht="19" customHeight="1">
      <c r="A92" s="20" t="inlineStr">
        <is>
          <t>PD-007-XS</t>
        </is>
      </c>
      <c r="B92" s="20" t="inlineStr">
        <is>
          <t>PD-007</t>
        </is>
      </c>
      <c r="C92" s="9" t="inlineStr">
        <is>
          <t>Burgundy Trench Coat</t>
        </is>
      </c>
      <c r="D92" s="9" t="inlineStr">
        <is>
          <t>Outerwear</t>
        </is>
      </c>
      <c r="E92" s="20" t="inlineStr">
        <is>
          <t>XS</t>
        </is>
      </c>
      <c r="F92" s="20" t="inlineStr">
        <is>
          <t>WH-HYD-01</t>
        </is>
      </c>
      <c r="G92" s="9" t="inlineStr">
        <is>
          <t>Hyderabad (Telangana)</t>
        </is>
      </c>
      <c r="H92" s="10" t="n">
        <v>100</v>
      </c>
      <c r="I92" s="10" t="n">
        <v>30</v>
      </c>
      <c r="J92" s="11" t="n">
        <v>4800</v>
      </c>
      <c r="K92" s="11" t="n">
        <v>12500</v>
      </c>
      <c r="L92" s="11">
        <f>H92*J92</f>
        <v/>
      </c>
      <c r="M92" s="20">
        <f>IF(H92&lt;=I92, "REORDER NOW", "HEALTHY")</f>
        <v/>
      </c>
    </row>
    <row r="93" ht="19" customHeight="1">
      <c r="A93" s="21" t="inlineStr">
        <is>
          <t>PD-007-XS</t>
        </is>
      </c>
      <c r="B93" s="21" t="inlineStr">
        <is>
          <t>PD-007</t>
        </is>
      </c>
      <c r="C93" s="12" t="inlineStr">
        <is>
          <t>Burgundy Trench Coat</t>
        </is>
      </c>
      <c r="D93" s="12" t="inlineStr">
        <is>
          <t>Outerwear</t>
        </is>
      </c>
      <c r="E93" s="21" t="inlineStr">
        <is>
          <t>XS</t>
        </is>
      </c>
      <c r="F93" s="21" t="inlineStr">
        <is>
          <t>WH-BLR-02</t>
        </is>
      </c>
      <c r="G93" s="12" t="inlineStr">
        <is>
          <t>Bengaluru (Karnataka)</t>
        </is>
      </c>
      <c r="H93" s="13" t="n">
        <v>49</v>
      </c>
      <c r="I93" s="13" t="n">
        <v>30</v>
      </c>
      <c r="J93" s="14" t="n">
        <v>4800</v>
      </c>
      <c r="K93" s="14" t="n">
        <v>12500</v>
      </c>
      <c r="L93" s="14">
        <f>H93*J93</f>
        <v/>
      </c>
      <c r="M93" s="21">
        <f>IF(H93&lt;=I93, "REORDER NOW", "HEALTHY")</f>
        <v/>
      </c>
    </row>
    <row r="94" ht="19" customHeight="1">
      <c r="A94" s="20" t="inlineStr">
        <is>
          <t>PD-007-XS</t>
        </is>
      </c>
      <c r="B94" s="20" t="inlineStr">
        <is>
          <t>PD-007</t>
        </is>
      </c>
      <c r="C94" s="9" t="inlineStr">
        <is>
          <t>Burgundy Trench Coat</t>
        </is>
      </c>
      <c r="D94" s="9" t="inlineStr">
        <is>
          <t>Outerwear</t>
        </is>
      </c>
      <c r="E94" s="20" t="inlineStr">
        <is>
          <t>XS</t>
        </is>
      </c>
      <c r="F94" s="20" t="inlineStr">
        <is>
          <t>WH-DEL-03</t>
        </is>
      </c>
      <c r="G94" s="9" t="inlineStr">
        <is>
          <t>Delhi NCR (Haryana)</t>
        </is>
      </c>
      <c r="H94" s="10" t="n">
        <v>104</v>
      </c>
      <c r="I94" s="10" t="n">
        <v>30</v>
      </c>
      <c r="J94" s="11" t="n">
        <v>4800</v>
      </c>
      <c r="K94" s="11" t="n">
        <v>12500</v>
      </c>
      <c r="L94" s="11">
        <f>H94*J94</f>
        <v/>
      </c>
      <c r="M94" s="20">
        <f>IF(H94&lt;=I94, "REORDER NOW", "HEALTHY")</f>
        <v/>
      </c>
    </row>
    <row r="95" ht="19" customHeight="1">
      <c r="A95" s="21" t="inlineStr">
        <is>
          <t>PD-007-S</t>
        </is>
      </c>
      <c r="B95" s="21" t="inlineStr">
        <is>
          <t>PD-007</t>
        </is>
      </c>
      <c r="C95" s="12" t="inlineStr">
        <is>
          <t>Burgundy Trench Coat</t>
        </is>
      </c>
      <c r="D95" s="12" t="inlineStr">
        <is>
          <t>Outerwear</t>
        </is>
      </c>
      <c r="E95" s="21" t="inlineStr">
        <is>
          <t>S</t>
        </is>
      </c>
      <c r="F95" s="21" t="inlineStr">
        <is>
          <t>WH-HYD-01</t>
        </is>
      </c>
      <c r="G95" s="12" t="inlineStr">
        <is>
          <t>Hyderabad (Telangana)</t>
        </is>
      </c>
      <c r="H95" s="13" t="n">
        <v>102</v>
      </c>
      <c r="I95" s="13" t="n">
        <v>30</v>
      </c>
      <c r="J95" s="14" t="n">
        <v>4800</v>
      </c>
      <c r="K95" s="14" t="n">
        <v>12500</v>
      </c>
      <c r="L95" s="14">
        <f>H95*J95</f>
        <v/>
      </c>
      <c r="M95" s="21">
        <f>IF(H95&lt;=I95, "REORDER NOW", "HEALTHY")</f>
        <v/>
      </c>
    </row>
    <row r="96" ht="19" customHeight="1">
      <c r="A96" s="20" t="inlineStr">
        <is>
          <t>PD-007-S</t>
        </is>
      </c>
      <c r="B96" s="20" t="inlineStr">
        <is>
          <t>PD-007</t>
        </is>
      </c>
      <c r="C96" s="9" t="inlineStr">
        <is>
          <t>Burgundy Trench Coat</t>
        </is>
      </c>
      <c r="D96" s="9" t="inlineStr">
        <is>
          <t>Outerwear</t>
        </is>
      </c>
      <c r="E96" s="20" t="inlineStr">
        <is>
          <t>S</t>
        </is>
      </c>
      <c r="F96" s="20" t="inlineStr">
        <is>
          <t>WH-BLR-02</t>
        </is>
      </c>
      <c r="G96" s="9" t="inlineStr">
        <is>
          <t>Bengaluru (Karnataka)</t>
        </is>
      </c>
      <c r="H96" s="10" t="n">
        <v>97</v>
      </c>
      <c r="I96" s="10" t="n">
        <v>30</v>
      </c>
      <c r="J96" s="11" t="n">
        <v>4800</v>
      </c>
      <c r="K96" s="11" t="n">
        <v>12500</v>
      </c>
      <c r="L96" s="11">
        <f>H96*J96</f>
        <v/>
      </c>
      <c r="M96" s="20">
        <f>IF(H96&lt;=I96, "REORDER NOW", "HEALTHY")</f>
        <v/>
      </c>
    </row>
    <row r="97" ht="19" customHeight="1">
      <c r="A97" s="21" t="inlineStr">
        <is>
          <t>PD-007-S</t>
        </is>
      </c>
      <c r="B97" s="21" t="inlineStr">
        <is>
          <t>PD-007</t>
        </is>
      </c>
      <c r="C97" s="12" t="inlineStr">
        <is>
          <t>Burgundy Trench Coat</t>
        </is>
      </c>
      <c r="D97" s="12" t="inlineStr">
        <is>
          <t>Outerwear</t>
        </is>
      </c>
      <c r="E97" s="21" t="inlineStr">
        <is>
          <t>S</t>
        </is>
      </c>
      <c r="F97" s="21" t="inlineStr">
        <is>
          <t>WH-DEL-03</t>
        </is>
      </c>
      <c r="G97" s="12" t="inlineStr">
        <is>
          <t>Delhi NCR (Haryana)</t>
        </is>
      </c>
      <c r="H97" s="13" t="n">
        <v>24</v>
      </c>
      <c r="I97" s="13" t="n">
        <v>30</v>
      </c>
      <c r="J97" s="14" t="n">
        <v>4800</v>
      </c>
      <c r="K97" s="14" t="n">
        <v>12500</v>
      </c>
      <c r="L97" s="14">
        <f>H97*J97</f>
        <v/>
      </c>
      <c r="M97" s="21">
        <f>IF(H97&lt;=I97, "REORDER NOW", "HEALTHY")</f>
        <v/>
      </c>
    </row>
    <row r="98" ht="19" customHeight="1">
      <c r="A98" s="20" t="inlineStr">
        <is>
          <t>PD-007-M</t>
        </is>
      </c>
      <c r="B98" s="20" t="inlineStr">
        <is>
          <t>PD-007</t>
        </is>
      </c>
      <c r="C98" s="9" t="inlineStr">
        <is>
          <t>Burgundy Trench Coat</t>
        </is>
      </c>
      <c r="D98" s="9" t="inlineStr">
        <is>
          <t>Outerwear</t>
        </is>
      </c>
      <c r="E98" s="20" t="inlineStr">
        <is>
          <t>M</t>
        </is>
      </c>
      <c r="F98" s="20" t="inlineStr">
        <is>
          <t>WH-HYD-01</t>
        </is>
      </c>
      <c r="G98" s="9" t="inlineStr">
        <is>
          <t>Hyderabad (Telangana)</t>
        </is>
      </c>
      <c r="H98" s="10" t="n">
        <v>92</v>
      </c>
      <c r="I98" s="10" t="n">
        <v>30</v>
      </c>
      <c r="J98" s="11" t="n">
        <v>4800</v>
      </c>
      <c r="K98" s="11" t="n">
        <v>12500</v>
      </c>
      <c r="L98" s="11">
        <f>H98*J98</f>
        <v/>
      </c>
      <c r="M98" s="20">
        <f>IF(H98&lt;=I98, "REORDER NOW", "HEALTHY")</f>
        <v/>
      </c>
    </row>
    <row r="99" ht="19" customHeight="1">
      <c r="A99" s="21" t="inlineStr">
        <is>
          <t>PD-007-M</t>
        </is>
      </c>
      <c r="B99" s="21" t="inlineStr">
        <is>
          <t>PD-007</t>
        </is>
      </c>
      <c r="C99" s="12" t="inlineStr">
        <is>
          <t>Burgundy Trench Coat</t>
        </is>
      </c>
      <c r="D99" s="12" t="inlineStr">
        <is>
          <t>Outerwear</t>
        </is>
      </c>
      <c r="E99" s="21" t="inlineStr">
        <is>
          <t>M</t>
        </is>
      </c>
      <c r="F99" s="21" t="inlineStr">
        <is>
          <t>WH-BLR-02</t>
        </is>
      </c>
      <c r="G99" s="12" t="inlineStr">
        <is>
          <t>Bengaluru (Karnataka)</t>
        </is>
      </c>
      <c r="H99" s="13" t="n">
        <v>96</v>
      </c>
      <c r="I99" s="13" t="n">
        <v>30</v>
      </c>
      <c r="J99" s="14" t="n">
        <v>4800</v>
      </c>
      <c r="K99" s="14" t="n">
        <v>12500</v>
      </c>
      <c r="L99" s="14">
        <f>H99*J99</f>
        <v/>
      </c>
      <c r="M99" s="21">
        <f>IF(H99&lt;=I99, "REORDER NOW", "HEALTHY")</f>
        <v/>
      </c>
    </row>
    <row r="100" ht="19" customHeight="1">
      <c r="A100" s="20" t="inlineStr">
        <is>
          <t>PD-007-M</t>
        </is>
      </c>
      <c r="B100" s="20" t="inlineStr">
        <is>
          <t>PD-007</t>
        </is>
      </c>
      <c r="C100" s="9" t="inlineStr">
        <is>
          <t>Burgundy Trench Coat</t>
        </is>
      </c>
      <c r="D100" s="9" t="inlineStr">
        <is>
          <t>Outerwear</t>
        </is>
      </c>
      <c r="E100" s="20" t="inlineStr">
        <is>
          <t>M</t>
        </is>
      </c>
      <c r="F100" s="20" t="inlineStr">
        <is>
          <t>WH-DEL-03</t>
        </is>
      </c>
      <c r="G100" s="9" t="inlineStr">
        <is>
          <t>Delhi NCR (Haryana)</t>
        </is>
      </c>
      <c r="H100" s="10" t="n">
        <v>36</v>
      </c>
      <c r="I100" s="10" t="n">
        <v>30</v>
      </c>
      <c r="J100" s="11" t="n">
        <v>4800</v>
      </c>
      <c r="K100" s="11" t="n">
        <v>12500</v>
      </c>
      <c r="L100" s="11">
        <f>H100*J100</f>
        <v/>
      </c>
      <c r="M100" s="20">
        <f>IF(H100&lt;=I100, "REORDER NOW", "HEALTHY")</f>
        <v/>
      </c>
    </row>
    <row r="101" ht="19" customHeight="1">
      <c r="A101" s="21" t="inlineStr">
        <is>
          <t>PD-007-L</t>
        </is>
      </c>
      <c r="B101" s="21" t="inlineStr">
        <is>
          <t>PD-007</t>
        </is>
      </c>
      <c r="C101" s="12" t="inlineStr">
        <is>
          <t>Burgundy Trench Coat</t>
        </is>
      </c>
      <c r="D101" s="12" t="inlineStr">
        <is>
          <t>Outerwear</t>
        </is>
      </c>
      <c r="E101" s="21" t="inlineStr">
        <is>
          <t>L</t>
        </is>
      </c>
      <c r="F101" s="21" t="inlineStr">
        <is>
          <t>WH-HYD-01</t>
        </is>
      </c>
      <c r="G101" s="12" t="inlineStr">
        <is>
          <t>Hyderabad (Telangana)</t>
        </is>
      </c>
      <c r="H101" s="13" t="n">
        <v>83</v>
      </c>
      <c r="I101" s="13" t="n">
        <v>30</v>
      </c>
      <c r="J101" s="14" t="n">
        <v>4800</v>
      </c>
      <c r="K101" s="14" t="n">
        <v>12500</v>
      </c>
      <c r="L101" s="14">
        <f>H101*J101</f>
        <v/>
      </c>
      <c r="M101" s="21">
        <f>IF(H101&lt;=I101, "REORDER NOW", "HEALTHY")</f>
        <v/>
      </c>
    </row>
    <row r="102" ht="19" customHeight="1">
      <c r="A102" s="20" t="inlineStr">
        <is>
          <t>PD-007-L</t>
        </is>
      </c>
      <c r="B102" s="20" t="inlineStr">
        <is>
          <t>PD-007</t>
        </is>
      </c>
      <c r="C102" s="9" t="inlineStr">
        <is>
          <t>Burgundy Trench Coat</t>
        </is>
      </c>
      <c r="D102" s="9" t="inlineStr">
        <is>
          <t>Outerwear</t>
        </is>
      </c>
      <c r="E102" s="20" t="inlineStr">
        <is>
          <t>L</t>
        </is>
      </c>
      <c r="F102" s="20" t="inlineStr">
        <is>
          <t>WH-BLR-02</t>
        </is>
      </c>
      <c r="G102" s="9" t="inlineStr">
        <is>
          <t>Bengaluru (Karnataka)</t>
        </is>
      </c>
      <c r="H102" s="10" t="n">
        <v>108</v>
      </c>
      <c r="I102" s="10" t="n">
        <v>30</v>
      </c>
      <c r="J102" s="11" t="n">
        <v>4800</v>
      </c>
      <c r="K102" s="11" t="n">
        <v>12500</v>
      </c>
      <c r="L102" s="11">
        <f>H102*J102</f>
        <v/>
      </c>
      <c r="M102" s="20">
        <f>IF(H102&lt;=I102, "REORDER NOW", "HEALTHY")</f>
        <v/>
      </c>
    </row>
    <row r="103" ht="19" customHeight="1">
      <c r="A103" s="21" t="inlineStr">
        <is>
          <t>PD-007-L</t>
        </is>
      </c>
      <c r="B103" s="21" t="inlineStr">
        <is>
          <t>PD-007</t>
        </is>
      </c>
      <c r="C103" s="12" t="inlineStr">
        <is>
          <t>Burgundy Trench Coat</t>
        </is>
      </c>
      <c r="D103" s="12" t="inlineStr">
        <is>
          <t>Outerwear</t>
        </is>
      </c>
      <c r="E103" s="21" t="inlineStr">
        <is>
          <t>L</t>
        </is>
      </c>
      <c r="F103" s="21" t="inlineStr">
        <is>
          <t>WH-DEL-03</t>
        </is>
      </c>
      <c r="G103" s="12" t="inlineStr">
        <is>
          <t>Delhi NCR (Haryana)</t>
        </is>
      </c>
      <c r="H103" s="13" t="n">
        <v>46</v>
      </c>
      <c r="I103" s="13" t="n">
        <v>30</v>
      </c>
      <c r="J103" s="14" t="n">
        <v>4800</v>
      </c>
      <c r="K103" s="14" t="n">
        <v>12500</v>
      </c>
      <c r="L103" s="14">
        <f>H103*J103</f>
        <v/>
      </c>
      <c r="M103" s="21">
        <f>IF(H103&lt;=I103, "REORDER NOW", "HEALTHY")</f>
        <v/>
      </c>
    </row>
    <row r="104" ht="19" customHeight="1">
      <c r="A104" s="20" t="inlineStr">
        <is>
          <t>PD-007-XL</t>
        </is>
      </c>
      <c r="B104" s="20" t="inlineStr">
        <is>
          <t>PD-007</t>
        </is>
      </c>
      <c r="C104" s="9" t="inlineStr">
        <is>
          <t>Burgundy Trench Coat</t>
        </is>
      </c>
      <c r="D104" s="9" t="inlineStr">
        <is>
          <t>Outerwear</t>
        </is>
      </c>
      <c r="E104" s="20" t="inlineStr">
        <is>
          <t>XL</t>
        </is>
      </c>
      <c r="F104" s="20" t="inlineStr">
        <is>
          <t>WH-HYD-01</t>
        </is>
      </c>
      <c r="G104" s="9" t="inlineStr">
        <is>
          <t>Hyderabad (Telangana)</t>
        </is>
      </c>
      <c r="H104" s="10" t="n">
        <v>35</v>
      </c>
      <c r="I104" s="10" t="n">
        <v>30</v>
      </c>
      <c r="J104" s="11" t="n">
        <v>4800</v>
      </c>
      <c r="K104" s="11" t="n">
        <v>12500</v>
      </c>
      <c r="L104" s="11">
        <f>H104*J104</f>
        <v/>
      </c>
      <c r="M104" s="20">
        <f>IF(H104&lt;=I104, "REORDER NOW", "HEALTHY")</f>
        <v/>
      </c>
    </row>
    <row r="105" ht="19" customHeight="1">
      <c r="A105" s="21" t="inlineStr">
        <is>
          <t>PD-007-XL</t>
        </is>
      </c>
      <c r="B105" s="21" t="inlineStr">
        <is>
          <t>PD-007</t>
        </is>
      </c>
      <c r="C105" s="12" t="inlineStr">
        <is>
          <t>Burgundy Trench Coat</t>
        </is>
      </c>
      <c r="D105" s="12" t="inlineStr">
        <is>
          <t>Outerwear</t>
        </is>
      </c>
      <c r="E105" s="21" t="inlineStr">
        <is>
          <t>XL</t>
        </is>
      </c>
      <c r="F105" s="21" t="inlineStr">
        <is>
          <t>WH-BLR-02</t>
        </is>
      </c>
      <c r="G105" s="12" t="inlineStr">
        <is>
          <t>Bengaluru (Karnataka)</t>
        </is>
      </c>
      <c r="H105" s="13" t="n">
        <v>74</v>
      </c>
      <c r="I105" s="13" t="n">
        <v>30</v>
      </c>
      <c r="J105" s="14" t="n">
        <v>4800</v>
      </c>
      <c r="K105" s="14" t="n">
        <v>12500</v>
      </c>
      <c r="L105" s="14">
        <f>H105*J105</f>
        <v/>
      </c>
      <c r="M105" s="21">
        <f>IF(H105&lt;=I105, "REORDER NOW", "HEALTHY")</f>
        <v/>
      </c>
    </row>
    <row r="106" ht="19" customHeight="1">
      <c r="A106" s="20" t="inlineStr">
        <is>
          <t>PD-007-XL</t>
        </is>
      </c>
      <c r="B106" s="20" t="inlineStr">
        <is>
          <t>PD-007</t>
        </is>
      </c>
      <c r="C106" s="9" t="inlineStr">
        <is>
          <t>Burgundy Trench Coat</t>
        </is>
      </c>
      <c r="D106" s="9" t="inlineStr">
        <is>
          <t>Outerwear</t>
        </is>
      </c>
      <c r="E106" s="20" t="inlineStr">
        <is>
          <t>XL</t>
        </is>
      </c>
      <c r="F106" s="20" t="inlineStr">
        <is>
          <t>WH-DEL-03</t>
        </is>
      </c>
      <c r="G106" s="9" t="inlineStr">
        <is>
          <t>Delhi NCR (Haryana)</t>
        </is>
      </c>
      <c r="H106" s="10" t="n">
        <v>63</v>
      </c>
      <c r="I106" s="10" t="n">
        <v>30</v>
      </c>
      <c r="J106" s="11" t="n">
        <v>4800</v>
      </c>
      <c r="K106" s="11" t="n">
        <v>12500</v>
      </c>
      <c r="L106" s="11">
        <f>H106*J106</f>
        <v/>
      </c>
      <c r="M106" s="20">
        <f>IF(H106&lt;=I106, "REORDER NOW", "HEALTHY")</f>
        <v/>
      </c>
    </row>
    <row r="107" ht="19" customHeight="1">
      <c r="A107" s="21" t="inlineStr">
        <is>
          <t>PD-008-XS</t>
        </is>
      </c>
      <c r="B107" s="21" t="inlineStr">
        <is>
          <t>PD-008</t>
        </is>
      </c>
      <c r="C107" s="12" t="inlineStr">
        <is>
          <t>Tuscan Sun Silk Skirt</t>
        </is>
      </c>
      <c r="D107" s="12" t="inlineStr">
        <is>
          <t>Skirts</t>
        </is>
      </c>
      <c r="E107" s="21" t="inlineStr">
        <is>
          <t>XS</t>
        </is>
      </c>
      <c r="F107" s="21" t="inlineStr">
        <is>
          <t>WH-HYD-01</t>
        </is>
      </c>
      <c r="G107" s="12" t="inlineStr">
        <is>
          <t>Hyderabad (Telangana)</t>
        </is>
      </c>
      <c r="H107" s="13" t="n">
        <v>49</v>
      </c>
      <c r="I107" s="13" t="n">
        <v>30</v>
      </c>
      <c r="J107" s="14" t="n">
        <v>1600</v>
      </c>
      <c r="K107" s="14" t="n">
        <v>4500</v>
      </c>
      <c r="L107" s="14">
        <f>H107*J107</f>
        <v/>
      </c>
      <c r="M107" s="21">
        <f>IF(H107&lt;=I107, "REORDER NOW", "HEALTHY")</f>
        <v/>
      </c>
    </row>
    <row r="108" ht="19" customHeight="1">
      <c r="A108" s="20" t="inlineStr">
        <is>
          <t>PD-008-XS</t>
        </is>
      </c>
      <c r="B108" s="20" t="inlineStr">
        <is>
          <t>PD-008</t>
        </is>
      </c>
      <c r="C108" s="9" t="inlineStr">
        <is>
          <t>Tuscan Sun Silk Skirt</t>
        </is>
      </c>
      <c r="D108" s="9" t="inlineStr">
        <is>
          <t>Skirts</t>
        </is>
      </c>
      <c r="E108" s="20" t="inlineStr">
        <is>
          <t>XS</t>
        </is>
      </c>
      <c r="F108" s="20" t="inlineStr">
        <is>
          <t>WH-BLR-02</t>
        </is>
      </c>
      <c r="G108" s="9" t="inlineStr">
        <is>
          <t>Bengaluru (Karnataka)</t>
        </is>
      </c>
      <c r="H108" s="10" t="n">
        <v>96</v>
      </c>
      <c r="I108" s="10" t="n">
        <v>30</v>
      </c>
      <c r="J108" s="11" t="n">
        <v>1600</v>
      </c>
      <c r="K108" s="11" t="n">
        <v>4500</v>
      </c>
      <c r="L108" s="11">
        <f>H108*J108</f>
        <v/>
      </c>
      <c r="M108" s="20">
        <f>IF(H108&lt;=I108, "REORDER NOW", "HEALTHY")</f>
        <v/>
      </c>
    </row>
    <row r="109" ht="19" customHeight="1">
      <c r="A109" s="21" t="inlineStr">
        <is>
          <t>PD-008-XS</t>
        </is>
      </c>
      <c r="B109" s="21" t="inlineStr">
        <is>
          <t>PD-008</t>
        </is>
      </c>
      <c r="C109" s="12" t="inlineStr">
        <is>
          <t>Tuscan Sun Silk Skirt</t>
        </is>
      </c>
      <c r="D109" s="12" t="inlineStr">
        <is>
          <t>Skirts</t>
        </is>
      </c>
      <c r="E109" s="21" t="inlineStr">
        <is>
          <t>XS</t>
        </is>
      </c>
      <c r="F109" s="21" t="inlineStr">
        <is>
          <t>WH-DEL-03</t>
        </is>
      </c>
      <c r="G109" s="12" t="inlineStr">
        <is>
          <t>Delhi NCR (Haryana)</t>
        </is>
      </c>
      <c r="H109" s="13" t="n">
        <v>103</v>
      </c>
      <c r="I109" s="13" t="n">
        <v>30</v>
      </c>
      <c r="J109" s="14" t="n">
        <v>1600</v>
      </c>
      <c r="K109" s="14" t="n">
        <v>4500</v>
      </c>
      <c r="L109" s="14">
        <f>H109*J109</f>
        <v/>
      </c>
      <c r="M109" s="21">
        <f>IF(H109&lt;=I109, "REORDER NOW", "HEALTHY")</f>
        <v/>
      </c>
    </row>
    <row r="110" ht="19" customHeight="1">
      <c r="A110" s="20" t="inlineStr">
        <is>
          <t>PD-008-S</t>
        </is>
      </c>
      <c r="B110" s="20" t="inlineStr">
        <is>
          <t>PD-008</t>
        </is>
      </c>
      <c r="C110" s="9" t="inlineStr">
        <is>
          <t>Tuscan Sun Silk Skirt</t>
        </is>
      </c>
      <c r="D110" s="9" t="inlineStr">
        <is>
          <t>Skirts</t>
        </is>
      </c>
      <c r="E110" s="20" t="inlineStr">
        <is>
          <t>S</t>
        </is>
      </c>
      <c r="F110" s="20" t="inlineStr">
        <is>
          <t>WH-HYD-01</t>
        </is>
      </c>
      <c r="G110" s="9" t="inlineStr">
        <is>
          <t>Hyderabad (Telangana)</t>
        </is>
      </c>
      <c r="H110" s="10" t="n">
        <v>86</v>
      </c>
      <c r="I110" s="10" t="n">
        <v>30</v>
      </c>
      <c r="J110" s="11" t="n">
        <v>1600</v>
      </c>
      <c r="K110" s="11" t="n">
        <v>4500</v>
      </c>
      <c r="L110" s="11">
        <f>H110*J110</f>
        <v/>
      </c>
      <c r="M110" s="20">
        <f>IF(H110&lt;=I110, "REORDER NOW", "HEALTHY")</f>
        <v/>
      </c>
    </row>
    <row r="111" ht="19" customHeight="1">
      <c r="A111" s="21" t="inlineStr">
        <is>
          <t>PD-008-S</t>
        </is>
      </c>
      <c r="B111" s="21" t="inlineStr">
        <is>
          <t>PD-008</t>
        </is>
      </c>
      <c r="C111" s="12" t="inlineStr">
        <is>
          <t>Tuscan Sun Silk Skirt</t>
        </is>
      </c>
      <c r="D111" s="12" t="inlineStr">
        <is>
          <t>Skirts</t>
        </is>
      </c>
      <c r="E111" s="21" t="inlineStr">
        <is>
          <t>S</t>
        </is>
      </c>
      <c r="F111" s="21" t="inlineStr">
        <is>
          <t>WH-BLR-02</t>
        </is>
      </c>
      <c r="G111" s="12" t="inlineStr">
        <is>
          <t>Bengaluru (Karnataka)</t>
        </is>
      </c>
      <c r="H111" s="13" t="n">
        <v>43</v>
      </c>
      <c r="I111" s="13" t="n">
        <v>30</v>
      </c>
      <c r="J111" s="14" t="n">
        <v>1600</v>
      </c>
      <c r="K111" s="14" t="n">
        <v>4500</v>
      </c>
      <c r="L111" s="14">
        <f>H111*J111</f>
        <v/>
      </c>
      <c r="M111" s="21">
        <f>IF(H111&lt;=I111, "REORDER NOW", "HEALTHY")</f>
        <v/>
      </c>
    </row>
    <row r="112" ht="19" customHeight="1">
      <c r="A112" s="20" t="inlineStr">
        <is>
          <t>PD-008-S</t>
        </is>
      </c>
      <c r="B112" s="20" t="inlineStr">
        <is>
          <t>PD-008</t>
        </is>
      </c>
      <c r="C112" s="9" t="inlineStr">
        <is>
          <t>Tuscan Sun Silk Skirt</t>
        </is>
      </c>
      <c r="D112" s="9" t="inlineStr">
        <is>
          <t>Skirts</t>
        </is>
      </c>
      <c r="E112" s="20" t="inlineStr">
        <is>
          <t>S</t>
        </is>
      </c>
      <c r="F112" s="20" t="inlineStr">
        <is>
          <t>WH-DEL-03</t>
        </is>
      </c>
      <c r="G112" s="9" t="inlineStr">
        <is>
          <t>Delhi NCR (Haryana)</t>
        </is>
      </c>
      <c r="H112" s="10" t="n">
        <v>102</v>
      </c>
      <c r="I112" s="10" t="n">
        <v>30</v>
      </c>
      <c r="J112" s="11" t="n">
        <v>1600</v>
      </c>
      <c r="K112" s="11" t="n">
        <v>4500</v>
      </c>
      <c r="L112" s="11">
        <f>H112*J112</f>
        <v/>
      </c>
      <c r="M112" s="20">
        <f>IF(H112&lt;=I112, "REORDER NOW", "HEALTHY")</f>
        <v/>
      </c>
    </row>
    <row r="113" ht="19" customHeight="1">
      <c r="A113" s="21" t="inlineStr">
        <is>
          <t>PD-008-M</t>
        </is>
      </c>
      <c r="B113" s="21" t="inlineStr">
        <is>
          <t>PD-008</t>
        </is>
      </c>
      <c r="C113" s="12" t="inlineStr">
        <is>
          <t>Tuscan Sun Silk Skirt</t>
        </is>
      </c>
      <c r="D113" s="12" t="inlineStr">
        <is>
          <t>Skirts</t>
        </is>
      </c>
      <c r="E113" s="21" t="inlineStr">
        <is>
          <t>M</t>
        </is>
      </c>
      <c r="F113" s="21" t="inlineStr">
        <is>
          <t>WH-HYD-01</t>
        </is>
      </c>
      <c r="G113" s="12" t="inlineStr">
        <is>
          <t>Hyderabad (Telangana)</t>
        </is>
      </c>
      <c r="H113" s="13" t="n">
        <v>56</v>
      </c>
      <c r="I113" s="13" t="n">
        <v>30</v>
      </c>
      <c r="J113" s="14" t="n">
        <v>1600</v>
      </c>
      <c r="K113" s="14" t="n">
        <v>4500</v>
      </c>
      <c r="L113" s="14">
        <f>H113*J113</f>
        <v/>
      </c>
      <c r="M113" s="21">
        <f>IF(H113&lt;=I113, "REORDER NOW", "HEALTHY")</f>
        <v/>
      </c>
    </row>
    <row r="114" ht="19" customHeight="1">
      <c r="A114" s="20" t="inlineStr">
        <is>
          <t>PD-008-M</t>
        </is>
      </c>
      <c r="B114" s="20" t="inlineStr">
        <is>
          <t>PD-008</t>
        </is>
      </c>
      <c r="C114" s="9" t="inlineStr">
        <is>
          <t>Tuscan Sun Silk Skirt</t>
        </is>
      </c>
      <c r="D114" s="9" t="inlineStr">
        <is>
          <t>Skirts</t>
        </is>
      </c>
      <c r="E114" s="20" t="inlineStr">
        <is>
          <t>M</t>
        </is>
      </c>
      <c r="F114" s="20" t="inlineStr">
        <is>
          <t>WH-BLR-02</t>
        </is>
      </c>
      <c r="G114" s="9" t="inlineStr">
        <is>
          <t>Bengaluru (Karnataka)</t>
        </is>
      </c>
      <c r="H114" s="10" t="n">
        <v>113</v>
      </c>
      <c r="I114" s="10" t="n">
        <v>30</v>
      </c>
      <c r="J114" s="11" t="n">
        <v>1600</v>
      </c>
      <c r="K114" s="11" t="n">
        <v>4500</v>
      </c>
      <c r="L114" s="11">
        <f>H114*J114</f>
        <v/>
      </c>
      <c r="M114" s="20">
        <f>IF(H114&lt;=I114, "REORDER NOW", "HEALTHY")</f>
        <v/>
      </c>
    </row>
    <row r="115" ht="19" customHeight="1">
      <c r="A115" s="21" t="inlineStr">
        <is>
          <t>PD-008-M</t>
        </is>
      </c>
      <c r="B115" s="21" t="inlineStr">
        <is>
          <t>PD-008</t>
        </is>
      </c>
      <c r="C115" s="12" t="inlineStr">
        <is>
          <t>Tuscan Sun Silk Skirt</t>
        </is>
      </c>
      <c r="D115" s="12" t="inlineStr">
        <is>
          <t>Skirts</t>
        </is>
      </c>
      <c r="E115" s="21" t="inlineStr">
        <is>
          <t>M</t>
        </is>
      </c>
      <c r="F115" s="21" t="inlineStr">
        <is>
          <t>WH-DEL-03</t>
        </is>
      </c>
      <c r="G115" s="12" t="inlineStr">
        <is>
          <t>Delhi NCR (Haryana)</t>
        </is>
      </c>
      <c r="H115" s="13" t="n">
        <v>114</v>
      </c>
      <c r="I115" s="13" t="n">
        <v>30</v>
      </c>
      <c r="J115" s="14" t="n">
        <v>1600</v>
      </c>
      <c r="K115" s="14" t="n">
        <v>4500</v>
      </c>
      <c r="L115" s="14">
        <f>H115*J115</f>
        <v/>
      </c>
      <c r="M115" s="21">
        <f>IF(H115&lt;=I115, "REORDER NOW", "HEALTHY")</f>
        <v/>
      </c>
    </row>
    <row r="116" ht="19" customHeight="1">
      <c r="A116" s="20" t="inlineStr">
        <is>
          <t>PD-008-L</t>
        </is>
      </c>
      <c r="B116" s="20" t="inlineStr">
        <is>
          <t>PD-008</t>
        </is>
      </c>
      <c r="C116" s="9" t="inlineStr">
        <is>
          <t>Tuscan Sun Silk Skirt</t>
        </is>
      </c>
      <c r="D116" s="9" t="inlineStr">
        <is>
          <t>Skirts</t>
        </is>
      </c>
      <c r="E116" s="20" t="inlineStr">
        <is>
          <t>L</t>
        </is>
      </c>
      <c r="F116" s="20" t="inlineStr">
        <is>
          <t>WH-HYD-01</t>
        </is>
      </c>
      <c r="G116" s="9" t="inlineStr">
        <is>
          <t>Hyderabad (Telangana)</t>
        </is>
      </c>
      <c r="H116" s="10" t="n">
        <v>22</v>
      </c>
      <c r="I116" s="10" t="n">
        <v>30</v>
      </c>
      <c r="J116" s="11" t="n">
        <v>1600</v>
      </c>
      <c r="K116" s="11" t="n">
        <v>4500</v>
      </c>
      <c r="L116" s="11">
        <f>H116*J116</f>
        <v/>
      </c>
      <c r="M116" s="20">
        <f>IF(H116&lt;=I116, "REORDER NOW", "HEALTHY")</f>
        <v/>
      </c>
    </row>
    <row r="117" ht="19" customHeight="1">
      <c r="A117" s="21" t="inlineStr">
        <is>
          <t>PD-008-L</t>
        </is>
      </c>
      <c r="B117" s="21" t="inlineStr">
        <is>
          <t>PD-008</t>
        </is>
      </c>
      <c r="C117" s="12" t="inlineStr">
        <is>
          <t>Tuscan Sun Silk Skirt</t>
        </is>
      </c>
      <c r="D117" s="12" t="inlineStr">
        <is>
          <t>Skirts</t>
        </is>
      </c>
      <c r="E117" s="21" t="inlineStr">
        <is>
          <t>L</t>
        </is>
      </c>
      <c r="F117" s="21" t="inlineStr">
        <is>
          <t>WH-BLR-02</t>
        </is>
      </c>
      <c r="G117" s="12" t="inlineStr">
        <is>
          <t>Bengaluru (Karnataka)</t>
        </is>
      </c>
      <c r="H117" s="13" t="n">
        <v>44</v>
      </c>
      <c r="I117" s="13" t="n">
        <v>30</v>
      </c>
      <c r="J117" s="14" t="n">
        <v>1600</v>
      </c>
      <c r="K117" s="14" t="n">
        <v>4500</v>
      </c>
      <c r="L117" s="14">
        <f>H117*J117</f>
        <v/>
      </c>
      <c r="M117" s="21">
        <f>IF(H117&lt;=I117, "REORDER NOW", "HEALTHY")</f>
        <v/>
      </c>
    </row>
    <row r="118" ht="19" customHeight="1">
      <c r="A118" s="20" t="inlineStr">
        <is>
          <t>PD-008-L</t>
        </is>
      </c>
      <c r="B118" s="20" t="inlineStr">
        <is>
          <t>PD-008</t>
        </is>
      </c>
      <c r="C118" s="9" t="inlineStr">
        <is>
          <t>Tuscan Sun Silk Skirt</t>
        </is>
      </c>
      <c r="D118" s="9" t="inlineStr">
        <is>
          <t>Skirts</t>
        </is>
      </c>
      <c r="E118" s="20" t="inlineStr">
        <is>
          <t>L</t>
        </is>
      </c>
      <c r="F118" s="20" t="inlineStr">
        <is>
          <t>WH-DEL-03</t>
        </is>
      </c>
      <c r="G118" s="9" t="inlineStr">
        <is>
          <t>Delhi NCR (Haryana)</t>
        </is>
      </c>
      <c r="H118" s="10" t="n">
        <v>120</v>
      </c>
      <c r="I118" s="10" t="n">
        <v>30</v>
      </c>
      <c r="J118" s="11" t="n">
        <v>1600</v>
      </c>
      <c r="K118" s="11" t="n">
        <v>4500</v>
      </c>
      <c r="L118" s="11">
        <f>H118*J118</f>
        <v/>
      </c>
      <c r="M118" s="20">
        <f>IF(H118&lt;=I118, "REORDER NOW", "HEALTHY")</f>
        <v/>
      </c>
    </row>
    <row r="119" ht="19" customHeight="1">
      <c r="A119" s="21" t="inlineStr">
        <is>
          <t>PD-008-XL</t>
        </is>
      </c>
      <c r="B119" s="21" t="inlineStr">
        <is>
          <t>PD-008</t>
        </is>
      </c>
      <c r="C119" s="12" t="inlineStr">
        <is>
          <t>Tuscan Sun Silk Skirt</t>
        </is>
      </c>
      <c r="D119" s="12" t="inlineStr">
        <is>
          <t>Skirts</t>
        </is>
      </c>
      <c r="E119" s="21" t="inlineStr">
        <is>
          <t>XL</t>
        </is>
      </c>
      <c r="F119" s="21" t="inlineStr">
        <is>
          <t>WH-HYD-01</t>
        </is>
      </c>
      <c r="G119" s="12" t="inlineStr">
        <is>
          <t>Hyderabad (Telangana)</t>
        </is>
      </c>
      <c r="H119" s="13" t="n">
        <v>19</v>
      </c>
      <c r="I119" s="13" t="n">
        <v>30</v>
      </c>
      <c r="J119" s="14" t="n">
        <v>1600</v>
      </c>
      <c r="K119" s="14" t="n">
        <v>4500</v>
      </c>
      <c r="L119" s="14">
        <f>H119*J119</f>
        <v/>
      </c>
      <c r="M119" s="21">
        <f>IF(H119&lt;=I119, "REORDER NOW", "HEALTHY")</f>
        <v/>
      </c>
    </row>
    <row r="120" ht="19" customHeight="1">
      <c r="A120" s="20" t="inlineStr">
        <is>
          <t>PD-008-XL</t>
        </is>
      </c>
      <c r="B120" s="20" t="inlineStr">
        <is>
          <t>PD-008</t>
        </is>
      </c>
      <c r="C120" s="9" t="inlineStr">
        <is>
          <t>Tuscan Sun Silk Skirt</t>
        </is>
      </c>
      <c r="D120" s="9" t="inlineStr">
        <is>
          <t>Skirts</t>
        </is>
      </c>
      <c r="E120" s="20" t="inlineStr">
        <is>
          <t>XL</t>
        </is>
      </c>
      <c r="F120" s="20" t="inlineStr">
        <is>
          <t>WH-BLR-02</t>
        </is>
      </c>
      <c r="G120" s="9" t="inlineStr">
        <is>
          <t>Bengaluru (Karnataka)</t>
        </is>
      </c>
      <c r="H120" s="10" t="n">
        <v>118</v>
      </c>
      <c r="I120" s="10" t="n">
        <v>30</v>
      </c>
      <c r="J120" s="11" t="n">
        <v>1600</v>
      </c>
      <c r="K120" s="11" t="n">
        <v>4500</v>
      </c>
      <c r="L120" s="11">
        <f>H120*J120</f>
        <v/>
      </c>
      <c r="M120" s="20">
        <f>IF(H120&lt;=I120, "REORDER NOW", "HEALTHY")</f>
        <v/>
      </c>
    </row>
    <row r="121" ht="19" customHeight="1">
      <c r="A121" s="21" t="inlineStr">
        <is>
          <t>PD-008-XL</t>
        </is>
      </c>
      <c r="B121" s="21" t="inlineStr">
        <is>
          <t>PD-008</t>
        </is>
      </c>
      <c r="C121" s="12" t="inlineStr">
        <is>
          <t>Tuscan Sun Silk Skirt</t>
        </is>
      </c>
      <c r="D121" s="12" t="inlineStr">
        <is>
          <t>Skirts</t>
        </is>
      </c>
      <c r="E121" s="21" t="inlineStr">
        <is>
          <t>XL</t>
        </is>
      </c>
      <c r="F121" s="21" t="inlineStr">
        <is>
          <t>WH-DEL-03</t>
        </is>
      </c>
      <c r="G121" s="12" t="inlineStr">
        <is>
          <t>Delhi NCR (Haryana)</t>
        </is>
      </c>
      <c r="H121" s="13" t="n">
        <v>55</v>
      </c>
      <c r="I121" s="13" t="n">
        <v>30</v>
      </c>
      <c r="J121" s="14" t="n">
        <v>1600</v>
      </c>
      <c r="K121" s="14" t="n">
        <v>4500</v>
      </c>
      <c r="L121" s="14">
        <f>H121*J121</f>
        <v/>
      </c>
      <c r="M121" s="21">
        <f>IF(H121&lt;=I121, "REORDER NOW", "HEALTHY")</f>
        <v/>
      </c>
    </row>
    <row r="122" ht="19" customHeight="1">
      <c r="A122" s="20" t="inlineStr">
        <is>
          <t>PD-009-XS</t>
        </is>
      </c>
      <c r="B122" s="20" t="inlineStr">
        <is>
          <t>PD-009</t>
        </is>
      </c>
      <c r="C122" s="9" t="inlineStr">
        <is>
          <t>Syrah Pleated Maxi Skirt</t>
        </is>
      </c>
      <c r="D122" s="9" t="inlineStr">
        <is>
          <t>Skirts</t>
        </is>
      </c>
      <c r="E122" s="20" t="inlineStr">
        <is>
          <t>XS</t>
        </is>
      </c>
      <c r="F122" s="20" t="inlineStr">
        <is>
          <t>WH-HYD-01</t>
        </is>
      </c>
      <c r="G122" s="9" t="inlineStr">
        <is>
          <t>Hyderabad (Telangana)</t>
        </is>
      </c>
      <c r="H122" s="10" t="n">
        <v>66</v>
      </c>
      <c r="I122" s="10" t="n">
        <v>30</v>
      </c>
      <c r="J122" s="11" t="n">
        <v>1900</v>
      </c>
      <c r="K122" s="11" t="n">
        <v>5400</v>
      </c>
      <c r="L122" s="11">
        <f>H122*J122</f>
        <v/>
      </c>
      <c r="M122" s="20">
        <f>IF(H122&lt;=I122, "REORDER NOW", "HEALTHY")</f>
        <v/>
      </c>
    </row>
    <row r="123" ht="19" customHeight="1">
      <c r="A123" s="21" t="inlineStr">
        <is>
          <t>PD-009-XS</t>
        </is>
      </c>
      <c r="B123" s="21" t="inlineStr">
        <is>
          <t>PD-009</t>
        </is>
      </c>
      <c r="C123" s="12" t="inlineStr">
        <is>
          <t>Syrah Pleated Maxi Skirt</t>
        </is>
      </c>
      <c r="D123" s="12" t="inlineStr">
        <is>
          <t>Skirts</t>
        </is>
      </c>
      <c r="E123" s="21" t="inlineStr">
        <is>
          <t>XS</t>
        </is>
      </c>
      <c r="F123" s="21" t="inlineStr">
        <is>
          <t>WH-BLR-02</t>
        </is>
      </c>
      <c r="G123" s="12" t="inlineStr">
        <is>
          <t>Bengaluru (Karnataka)</t>
        </is>
      </c>
      <c r="H123" s="13" t="n">
        <v>49</v>
      </c>
      <c r="I123" s="13" t="n">
        <v>30</v>
      </c>
      <c r="J123" s="14" t="n">
        <v>1900</v>
      </c>
      <c r="K123" s="14" t="n">
        <v>5400</v>
      </c>
      <c r="L123" s="14">
        <f>H123*J123</f>
        <v/>
      </c>
      <c r="M123" s="21">
        <f>IF(H123&lt;=I123, "REORDER NOW", "HEALTHY")</f>
        <v/>
      </c>
    </row>
    <row r="124" ht="19" customHeight="1">
      <c r="A124" s="20" t="inlineStr">
        <is>
          <t>PD-009-XS</t>
        </is>
      </c>
      <c r="B124" s="20" t="inlineStr">
        <is>
          <t>PD-009</t>
        </is>
      </c>
      <c r="C124" s="9" t="inlineStr">
        <is>
          <t>Syrah Pleated Maxi Skirt</t>
        </is>
      </c>
      <c r="D124" s="9" t="inlineStr">
        <is>
          <t>Skirts</t>
        </is>
      </c>
      <c r="E124" s="20" t="inlineStr">
        <is>
          <t>XS</t>
        </is>
      </c>
      <c r="F124" s="20" t="inlineStr">
        <is>
          <t>WH-DEL-03</t>
        </is>
      </c>
      <c r="G124" s="9" t="inlineStr">
        <is>
          <t>Delhi NCR (Haryana)</t>
        </is>
      </c>
      <c r="H124" s="10" t="n">
        <v>23</v>
      </c>
      <c r="I124" s="10" t="n">
        <v>30</v>
      </c>
      <c r="J124" s="11" t="n">
        <v>1900</v>
      </c>
      <c r="K124" s="11" t="n">
        <v>5400</v>
      </c>
      <c r="L124" s="11">
        <f>H124*J124</f>
        <v/>
      </c>
      <c r="M124" s="20">
        <f>IF(H124&lt;=I124, "REORDER NOW", "HEALTHY")</f>
        <v/>
      </c>
    </row>
    <row r="125" ht="19" customHeight="1">
      <c r="A125" s="21" t="inlineStr">
        <is>
          <t>PD-009-S</t>
        </is>
      </c>
      <c r="B125" s="21" t="inlineStr">
        <is>
          <t>PD-009</t>
        </is>
      </c>
      <c r="C125" s="12" t="inlineStr">
        <is>
          <t>Syrah Pleated Maxi Skirt</t>
        </is>
      </c>
      <c r="D125" s="12" t="inlineStr">
        <is>
          <t>Skirts</t>
        </is>
      </c>
      <c r="E125" s="21" t="inlineStr">
        <is>
          <t>S</t>
        </is>
      </c>
      <c r="F125" s="21" t="inlineStr">
        <is>
          <t>WH-HYD-01</t>
        </is>
      </c>
      <c r="G125" s="12" t="inlineStr">
        <is>
          <t>Hyderabad (Telangana)</t>
        </is>
      </c>
      <c r="H125" s="13" t="n">
        <v>42</v>
      </c>
      <c r="I125" s="13" t="n">
        <v>30</v>
      </c>
      <c r="J125" s="14" t="n">
        <v>1900</v>
      </c>
      <c r="K125" s="14" t="n">
        <v>5400</v>
      </c>
      <c r="L125" s="14">
        <f>H125*J125</f>
        <v/>
      </c>
      <c r="M125" s="21">
        <f>IF(H125&lt;=I125, "REORDER NOW", "HEALTHY")</f>
        <v/>
      </c>
    </row>
    <row r="126" ht="19" customHeight="1">
      <c r="A126" s="20" t="inlineStr">
        <is>
          <t>PD-009-S</t>
        </is>
      </c>
      <c r="B126" s="20" t="inlineStr">
        <is>
          <t>PD-009</t>
        </is>
      </c>
      <c r="C126" s="9" t="inlineStr">
        <is>
          <t>Syrah Pleated Maxi Skirt</t>
        </is>
      </c>
      <c r="D126" s="9" t="inlineStr">
        <is>
          <t>Skirts</t>
        </is>
      </c>
      <c r="E126" s="20" t="inlineStr">
        <is>
          <t>S</t>
        </is>
      </c>
      <c r="F126" s="20" t="inlineStr">
        <is>
          <t>WH-BLR-02</t>
        </is>
      </c>
      <c r="G126" s="9" t="inlineStr">
        <is>
          <t>Bengaluru (Karnataka)</t>
        </is>
      </c>
      <c r="H126" s="10" t="n">
        <v>87</v>
      </c>
      <c r="I126" s="10" t="n">
        <v>30</v>
      </c>
      <c r="J126" s="11" t="n">
        <v>1900</v>
      </c>
      <c r="K126" s="11" t="n">
        <v>5400</v>
      </c>
      <c r="L126" s="11">
        <f>H126*J126</f>
        <v/>
      </c>
      <c r="M126" s="20">
        <f>IF(H126&lt;=I126, "REORDER NOW", "HEALTHY")</f>
        <v/>
      </c>
    </row>
    <row r="127" ht="19" customHeight="1">
      <c r="A127" s="21" t="inlineStr">
        <is>
          <t>PD-009-S</t>
        </is>
      </c>
      <c r="B127" s="21" t="inlineStr">
        <is>
          <t>PD-009</t>
        </is>
      </c>
      <c r="C127" s="12" t="inlineStr">
        <is>
          <t>Syrah Pleated Maxi Skirt</t>
        </is>
      </c>
      <c r="D127" s="12" t="inlineStr">
        <is>
          <t>Skirts</t>
        </is>
      </c>
      <c r="E127" s="21" t="inlineStr">
        <is>
          <t>S</t>
        </is>
      </c>
      <c r="F127" s="21" t="inlineStr">
        <is>
          <t>WH-DEL-03</t>
        </is>
      </c>
      <c r="G127" s="12" t="inlineStr">
        <is>
          <t>Delhi NCR (Haryana)</t>
        </is>
      </c>
      <c r="H127" s="13" t="n">
        <v>106</v>
      </c>
      <c r="I127" s="13" t="n">
        <v>30</v>
      </c>
      <c r="J127" s="14" t="n">
        <v>1900</v>
      </c>
      <c r="K127" s="14" t="n">
        <v>5400</v>
      </c>
      <c r="L127" s="14">
        <f>H127*J127</f>
        <v/>
      </c>
      <c r="M127" s="21">
        <f>IF(H127&lt;=I127, "REORDER NOW", "HEALTHY")</f>
        <v/>
      </c>
    </row>
    <row r="128" ht="19" customHeight="1">
      <c r="A128" s="20" t="inlineStr">
        <is>
          <t>PD-009-M</t>
        </is>
      </c>
      <c r="B128" s="20" t="inlineStr">
        <is>
          <t>PD-009</t>
        </is>
      </c>
      <c r="C128" s="9" t="inlineStr">
        <is>
          <t>Syrah Pleated Maxi Skirt</t>
        </is>
      </c>
      <c r="D128" s="9" t="inlineStr">
        <is>
          <t>Skirts</t>
        </is>
      </c>
      <c r="E128" s="20" t="inlineStr">
        <is>
          <t>M</t>
        </is>
      </c>
      <c r="F128" s="20" t="inlineStr">
        <is>
          <t>WH-HYD-01</t>
        </is>
      </c>
      <c r="G128" s="9" t="inlineStr">
        <is>
          <t>Hyderabad (Telangana)</t>
        </is>
      </c>
      <c r="H128" s="10" t="n">
        <v>55</v>
      </c>
      <c r="I128" s="10" t="n">
        <v>30</v>
      </c>
      <c r="J128" s="11" t="n">
        <v>1900</v>
      </c>
      <c r="K128" s="11" t="n">
        <v>5400</v>
      </c>
      <c r="L128" s="11">
        <f>H128*J128</f>
        <v/>
      </c>
      <c r="M128" s="20">
        <f>IF(H128&lt;=I128, "REORDER NOW", "HEALTHY")</f>
        <v/>
      </c>
    </row>
    <row r="129" ht="19" customHeight="1">
      <c r="A129" s="21" t="inlineStr">
        <is>
          <t>PD-009-M</t>
        </is>
      </c>
      <c r="B129" s="21" t="inlineStr">
        <is>
          <t>PD-009</t>
        </is>
      </c>
      <c r="C129" s="12" t="inlineStr">
        <is>
          <t>Syrah Pleated Maxi Skirt</t>
        </is>
      </c>
      <c r="D129" s="12" t="inlineStr">
        <is>
          <t>Skirts</t>
        </is>
      </c>
      <c r="E129" s="21" t="inlineStr">
        <is>
          <t>M</t>
        </is>
      </c>
      <c r="F129" s="21" t="inlineStr">
        <is>
          <t>WH-BLR-02</t>
        </is>
      </c>
      <c r="G129" s="12" t="inlineStr">
        <is>
          <t>Bengaluru (Karnataka)</t>
        </is>
      </c>
      <c r="H129" s="13" t="n">
        <v>42</v>
      </c>
      <c r="I129" s="13" t="n">
        <v>30</v>
      </c>
      <c r="J129" s="14" t="n">
        <v>1900</v>
      </c>
      <c r="K129" s="14" t="n">
        <v>5400</v>
      </c>
      <c r="L129" s="14">
        <f>H129*J129</f>
        <v/>
      </c>
      <c r="M129" s="21">
        <f>IF(H129&lt;=I129, "REORDER NOW", "HEALTHY")</f>
        <v/>
      </c>
    </row>
    <row r="130" ht="19" customHeight="1">
      <c r="A130" s="20" t="inlineStr">
        <is>
          <t>PD-009-M</t>
        </is>
      </c>
      <c r="B130" s="20" t="inlineStr">
        <is>
          <t>PD-009</t>
        </is>
      </c>
      <c r="C130" s="9" t="inlineStr">
        <is>
          <t>Syrah Pleated Maxi Skirt</t>
        </is>
      </c>
      <c r="D130" s="9" t="inlineStr">
        <is>
          <t>Skirts</t>
        </is>
      </c>
      <c r="E130" s="20" t="inlineStr">
        <is>
          <t>M</t>
        </is>
      </c>
      <c r="F130" s="20" t="inlineStr">
        <is>
          <t>WH-DEL-03</t>
        </is>
      </c>
      <c r="G130" s="9" t="inlineStr">
        <is>
          <t>Delhi NCR (Haryana)</t>
        </is>
      </c>
      <c r="H130" s="10" t="n">
        <v>98</v>
      </c>
      <c r="I130" s="10" t="n">
        <v>30</v>
      </c>
      <c r="J130" s="11" t="n">
        <v>1900</v>
      </c>
      <c r="K130" s="11" t="n">
        <v>5400</v>
      </c>
      <c r="L130" s="11">
        <f>H130*J130</f>
        <v/>
      </c>
      <c r="M130" s="20">
        <f>IF(H130&lt;=I130, "REORDER NOW", "HEALTHY")</f>
        <v/>
      </c>
    </row>
    <row r="131" ht="19" customHeight="1">
      <c r="A131" s="21" t="inlineStr">
        <is>
          <t>PD-009-L</t>
        </is>
      </c>
      <c r="B131" s="21" t="inlineStr">
        <is>
          <t>PD-009</t>
        </is>
      </c>
      <c r="C131" s="12" t="inlineStr">
        <is>
          <t>Syrah Pleated Maxi Skirt</t>
        </is>
      </c>
      <c r="D131" s="12" t="inlineStr">
        <is>
          <t>Skirts</t>
        </is>
      </c>
      <c r="E131" s="21" t="inlineStr">
        <is>
          <t>L</t>
        </is>
      </c>
      <c r="F131" s="21" t="inlineStr">
        <is>
          <t>WH-HYD-01</t>
        </is>
      </c>
      <c r="G131" s="12" t="inlineStr">
        <is>
          <t>Hyderabad (Telangana)</t>
        </is>
      </c>
      <c r="H131" s="13" t="n">
        <v>78</v>
      </c>
      <c r="I131" s="13" t="n">
        <v>30</v>
      </c>
      <c r="J131" s="14" t="n">
        <v>1900</v>
      </c>
      <c r="K131" s="14" t="n">
        <v>5400</v>
      </c>
      <c r="L131" s="14">
        <f>H131*J131</f>
        <v/>
      </c>
      <c r="M131" s="21">
        <f>IF(H131&lt;=I131, "REORDER NOW", "HEALTHY")</f>
        <v/>
      </c>
    </row>
    <row r="132" ht="19" customHeight="1">
      <c r="A132" s="20" t="inlineStr">
        <is>
          <t>PD-009-L</t>
        </is>
      </c>
      <c r="B132" s="20" t="inlineStr">
        <is>
          <t>PD-009</t>
        </is>
      </c>
      <c r="C132" s="9" t="inlineStr">
        <is>
          <t>Syrah Pleated Maxi Skirt</t>
        </is>
      </c>
      <c r="D132" s="9" t="inlineStr">
        <is>
          <t>Skirts</t>
        </is>
      </c>
      <c r="E132" s="20" t="inlineStr">
        <is>
          <t>L</t>
        </is>
      </c>
      <c r="F132" s="20" t="inlineStr">
        <is>
          <t>WH-BLR-02</t>
        </is>
      </c>
      <c r="G132" s="9" t="inlineStr">
        <is>
          <t>Bengaluru (Karnataka)</t>
        </is>
      </c>
      <c r="H132" s="10" t="n">
        <v>65</v>
      </c>
      <c r="I132" s="10" t="n">
        <v>30</v>
      </c>
      <c r="J132" s="11" t="n">
        <v>1900</v>
      </c>
      <c r="K132" s="11" t="n">
        <v>5400</v>
      </c>
      <c r="L132" s="11">
        <f>H132*J132</f>
        <v/>
      </c>
      <c r="M132" s="20">
        <f>IF(H132&lt;=I132, "REORDER NOW", "HEALTHY")</f>
        <v/>
      </c>
    </row>
    <row r="133" ht="19" customHeight="1">
      <c r="A133" s="21" t="inlineStr">
        <is>
          <t>PD-009-L</t>
        </is>
      </c>
      <c r="B133" s="21" t="inlineStr">
        <is>
          <t>PD-009</t>
        </is>
      </c>
      <c r="C133" s="12" t="inlineStr">
        <is>
          <t>Syrah Pleated Maxi Skirt</t>
        </is>
      </c>
      <c r="D133" s="12" t="inlineStr">
        <is>
          <t>Skirts</t>
        </is>
      </c>
      <c r="E133" s="21" t="inlineStr">
        <is>
          <t>L</t>
        </is>
      </c>
      <c r="F133" s="21" t="inlineStr">
        <is>
          <t>WH-DEL-03</t>
        </is>
      </c>
      <c r="G133" s="12" t="inlineStr">
        <is>
          <t>Delhi NCR (Haryana)</t>
        </is>
      </c>
      <c r="H133" s="13" t="n">
        <v>97</v>
      </c>
      <c r="I133" s="13" t="n">
        <v>30</v>
      </c>
      <c r="J133" s="14" t="n">
        <v>1900</v>
      </c>
      <c r="K133" s="14" t="n">
        <v>5400</v>
      </c>
      <c r="L133" s="14">
        <f>H133*J133</f>
        <v/>
      </c>
      <c r="M133" s="21">
        <f>IF(H133&lt;=I133, "REORDER NOW", "HEALTHY")</f>
        <v/>
      </c>
    </row>
    <row r="134" ht="19" customHeight="1">
      <c r="A134" s="20" t="inlineStr">
        <is>
          <t>PD-009-XL</t>
        </is>
      </c>
      <c r="B134" s="20" t="inlineStr">
        <is>
          <t>PD-009</t>
        </is>
      </c>
      <c r="C134" s="9" t="inlineStr">
        <is>
          <t>Syrah Pleated Maxi Skirt</t>
        </is>
      </c>
      <c r="D134" s="9" t="inlineStr">
        <is>
          <t>Skirts</t>
        </is>
      </c>
      <c r="E134" s="20" t="inlineStr">
        <is>
          <t>XL</t>
        </is>
      </c>
      <c r="F134" s="20" t="inlineStr">
        <is>
          <t>WH-HYD-01</t>
        </is>
      </c>
      <c r="G134" s="9" t="inlineStr">
        <is>
          <t>Hyderabad (Telangana)</t>
        </is>
      </c>
      <c r="H134" s="10" t="n">
        <v>73</v>
      </c>
      <c r="I134" s="10" t="n">
        <v>30</v>
      </c>
      <c r="J134" s="11" t="n">
        <v>1900</v>
      </c>
      <c r="K134" s="11" t="n">
        <v>5400</v>
      </c>
      <c r="L134" s="11">
        <f>H134*J134</f>
        <v/>
      </c>
      <c r="M134" s="20">
        <f>IF(H134&lt;=I134, "REORDER NOW", "HEALTHY")</f>
        <v/>
      </c>
    </row>
    <row r="135" ht="19" customHeight="1">
      <c r="A135" s="21" t="inlineStr">
        <is>
          <t>PD-009-XL</t>
        </is>
      </c>
      <c r="B135" s="21" t="inlineStr">
        <is>
          <t>PD-009</t>
        </is>
      </c>
      <c r="C135" s="12" t="inlineStr">
        <is>
          <t>Syrah Pleated Maxi Skirt</t>
        </is>
      </c>
      <c r="D135" s="12" t="inlineStr">
        <is>
          <t>Skirts</t>
        </is>
      </c>
      <c r="E135" s="21" t="inlineStr">
        <is>
          <t>XL</t>
        </is>
      </c>
      <c r="F135" s="21" t="inlineStr">
        <is>
          <t>WH-BLR-02</t>
        </is>
      </c>
      <c r="G135" s="12" t="inlineStr">
        <is>
          <t>Bengaluru (Karnataka)</t>
        </is>
      </c>
      <c r="H135" s="13" t="n">
        <v>33</v>
      </c>
      <c r="I135" s="13" t="n">
        <v>30</v>
      </c>
      <c r="J135" s="14" t="n">
        <v>1900</v>
      </c>
      <c r="K135" s="14" t="n">
        <v>5400</v>
      </c>
      <c r="L135" s="14">
        <f>H135*J135</f>
        <v/>
      </c>
      <c r="M135" s="21">
        <f>IF(H135&lt;=I135, "REORDER NOW", "HEALTHY")</f>
        <v/>
      </c>
    </row>
    <row r="136" ht="19" customHeight="1">
      <c r="A136" s="20" t="inlineStr">
        <is>
          <t>PD-009-XL</t>
        </is>
      </c>
      <c r="B136" s="20" t="inlineStr">
        <is>
          <t>PD-009</t>
        </is>
      </c>
      <c r="C136" s="9" t="inlineStr">
        <is>
          <t>Syrah Pleated Maxi Skirt</t>
        </is>
      </c>
      <c r="D136" s="9" t="inlineStr">
        <is>
          <t>Skirts</t>
        </is>
      </c>
      <c r="E136" s="20" t="inlineStr">
        <is>
          <t>XL</t>
        </is>
      </c>
      <c r="F136" s="20" t="inlineStr">
        <is>
          <t>WH-DEL-03</t>
        </is>
      </c>
      <c r="G136" s="9" t="inlineStr">
        <is>
          <t>Delhi NCR (Haryana)</t>
        </is>
      </c>
      <c r="H136" s="10" t="n">
        <v>48</v>
      </c>
      <c r="I136" s="10" t="n">
        <v>30</v>
      </c>
      <c r="J136" s="11" t="n">
        <v>1900</v>
      </c>
      <c r="K136" s="11" t="n">
        <v>5400</v>
      </c>
      <c r="L136" s="11">
        <f>H136*J136</f>
        <v/>
      </c>
      <c r="M136" s="20">
        <f>IF(H136&lt;=I136, "REORDER NOW", "HEALTHY")</f>
        <v/>
      </c>
    </row>
    <row r="137" ht="19" customHeight="1">
      <c r="A137" s="21" t="inlineStr">
        <is>
          <t>PD-010-XS</t>
        </is>
      </c>
      <c r="B137" s="21" t="inlineStr">
        <is>
          <t>PD-010</t>
        </is>
      </c>
      <c r="C137" s="12" t="inlineStr">
        <is>
          <t>Noir Tailored Blazer</t>
        </is>
      </c>
      <c r="D137" s="12" t="inlineStr">
        <is>
          <t>Outerwear</t>
        </is>
      </c>
      <c r="E137" s="21" t="inlineStr">
        <is>
          <t>XS</t>
        </is>
      </c>
      <c r="F137" s="21" t="inlineStr">
        <is>
          <t>WH-HYD-01</t>
        </is>
      </c>
      <c r="G137" s="12" t="inlineStr">
        <is>
          <t>Hyderabad (Telangana)</t>
        </is>
      </c>
      <c r="H137" s="13" t="n">
        <v>32</v>
      </c>
      <c r="I137" s="13" t="n">
        <v>30</v>
      </c>
      <c r="J137" s="14" t="n">
        <v>4200</v>
      </c>
      <c r="K137" s="14" t="n">
        <v>11000</v>
      </c>
      <c r="L137" s="14">
        <f>H137*J137</f>
        <v/>
      </c>
      <c r="M137" s="21">
        <f>IF(H137&lt;=I137, "REORDER NOW", "HEALTHY")</f>
        <v/>
      </c>
    </row>
    <row r="138" ht="19" customHeight="1">
      <c r="A138" s="20" t="inlineStr">
        <is>
          <t>PD-010-XS</t>
        </is>
      </c>
      <c r="B138" s="20" t="inlineStr">
        <is>
          <t>PD-010</t>
        </is>
      </c>
      <c r="C138" s="9" t="inlineStr">
        <is>
          <t>Noir Tailored Blazer</t>
        </is>
      </c>
      <c r="D138" s="9" t="inlineStr">
        <is>
          <t>Outerwear</t>
        </is>
      </c>
      <c r="E138" s="20" t="inlineStr">
        <is>
          <t>XS</t>
        </is>
      </c>
      <c r="F138" s="20" t="inlineStr">
        <is>
          <t>WH-BLR-02</t>
        </is>
      </c>
      <c r="G138" s="9" t="inlineStr">
        <is>
          <t>Bengaluru (Karnataka)</t>
        </is>
      </c>
      <c r="H138" s="10" t="n">
        <v>46</v>
      </c>
      <c r="I138" s="10" t="n">
        <v>30</v>
      </c>
      <c r="J138" s="11" t="n">
        <v>4200</v>
      </c>
      <c r="K138" s="11" t="n">
        <v>11000</v>
      </c>
      <c r="L138" s="11">
        <f>H138*J138</f>
        <v/>
      </c>
      <c r="M138" s="20">
        <f>IF(H138&lt;=I138, "REORDER NOW", "HEALTHY")</f>
        <v/>
      </c>
    </row>
    <row r="139" ht="19" customHeight="1">
      <c r="A139" s="21" t="inlineStr">
        <is>
          <t>PD-010-XS</t>
        </is>
      </c>
      <c r="B139" s="21" t="inlineStr">
        <is>
          <t>PD-010</t>
        </is>
      </c>
      <c r="C139" s="12" t="inlineStr">
        <is>
          <t>Noir Tailored Blazer</t>
        </is>
      </c>
      <c r="D139" s="12" t="inlineStr">
        <is>
          <t>Outerwear</t>
        </is>
      </c>
      <c r="E139" s="21" t="inlineStr">
        <is>
          <t>XS</t>
        </is>
      </c>
      <c r="F139" s="21" t="inlineStr">
        <is>
          <t>WH-DEL-03</t>
        </is>
      </c>
      <c r="G139" s="12" t="inlineStr">
        <is>
          <t>Delhi NCR (Haryana)</t>
        </is>
      </c>
      <c r="H139" s="13" t="n">
        <v>110</v>
      </c>
      <c r="I139" s="13" t="n">
        <v>30</v>
      </c>
      <c r="J139" s="14" t="n">
        <v>4200</v>
      </c>
      <c r="K139" s="14" t="n">
        <v>11000</v>
      </c>
      <c r="L139" s="14">
        <f>H139*J139</f>
        <v/>
      </c>
      <c r="M139" s="21">
        <f>IF(H139&lt;=I139, "REORDER NOW", "HEALTHY")</f>
        <v/>
      </c>
    </row>
    <row r="140" ht="19" customHeight="1">
      <c r="A140" s="20" t="inlineStr">
        <is>
          <t>PD-010-S</t>
        </is>
      </c>
      <c r="B140" s="20" t="inlineStr">
        <is>
          <t>PD-010</t>
        </is>
      </c>
      <c r="C140" s="9" t="inlineStr">
        <is>
          <t>Noir Tailored Blazer</t>
        </is>
      </c>
      <c r="D140" s="9" t="inlineStr">
        <is>
          <t>Outerwear</t>
        </is>
      </c>
      <c r="E140" s="20" t="inlineStr">
        <is>
          <t>S</t>
        </is>
      </c>
      <c r="F140" s="20" t="inlineStr">
        <is>
          <t>WH-HYD-01</t>
        </is>
      </c>
      <c r="G140" s="9" t="inlineStr">
        <is>
          <t>Hyderabad (Telangana)</t>
        </is>
      </c>
      <c r="H140" s="10" t="n">
        <v>86</v>
      </c>
      <c r="I140" s="10" t="n">
        <v>30</v>
      </c>
      <c r="J140" s="11" t="n">
        <v>4200</v>
      </c>
      <c r="K140" s="11" t="n">
        <v>11000</v>
      </c>
      <c r="L140" s="11">
        <f>H140*J140</f>
        <v/>
      </c>
      <c r="M140" s="20">
        <f>IF(H140&lt;=I140, "REORDER NOW", "HEALTHY")</f>
        <v/>
      </c>
    </row>
    <row r="141" ht="19" customHeight="1">
      <c r="A141" s="21" t="inlineStr">
        <is>
          <t>PD-010-S</t>
        </is>
      </c>
      <c r="B141" s="21" t="inlineStr">
        <is>
          <t>PD-010</t>
        </is>
      </c>
      <c r="C141" s="12" t="inlineStr">
        <is>
          <t>Noir Tailored Blazer</t>
        </is>
      </c>
      <c r="D141" s="12" t="inlineStr">
        <is>
          <t>Outerwear</t>
        </is>
      </c>
      <c r="E141" s="21" t="inlineStr">
        <is>
          <t>S</t>
        </is>
      </c>
      <c r="F141" s="21" t="inlineStr">
        <is>
          <t>WH-BLR-02</t>
        </is>
      </c>
      <c r="G141" s="12" t="inlineStr">
        <is>
          <t>Bengaluru (Karnataka)</t>
        </is>
      </c>
      <c r="H141" s="13" t="n">
        <v>83</v>
      </c>
      <c r="I141" s="13" t="n">
        <v>30</v>
      </c>
      <c r="J141" s="14" t="n">
        <v>4200</v>
      </c>
      <c r="K141" s="14" t="n">
        <v>11000</v>
      </c>
      <c r="L141" s="14">
        <f>H141*J141</f>
        <v/>
      </c>
      <c r="M141" s="21">
        <f>IF(H141&lt;=I141, "REORDER NOW", "HEALTHY")</f>
        <v/>
      </c>
    </row>
    <row r="142" ht="19" customHeight="1">
      <c r="A142" s="20" t="inlineStr">
        <is>
          <t>PD-010-S</t>
        </is>
      </c>
      <c r="B142" s="20" t="inlineStr">
        <is>
          <t>PD-010</t>
        </is>
      </c>
      <c r="C142" s="9" t="inlineStr">
        <is>
          <t>Noir Tailored Blazer</t>
        </is>
      </c>
      <c r="D142" s="9" t="inlineStr">
        <is>
          <t>Outerwear</t>
        </is>
      </c>
      <c r="E142" s="20" t="inlineStr">
        <is>
          <t>S</t>
        </is>
      </c>
      <c r="F142" s="20" t="inlineStr">
        <is>
          <t>WH-DEL-03</t>
        </is>
      </c>
      <c r="G142" s="9" t="inlineStr">
        <is>
          <t>Delhi NCR (Haryana)</t>
        </is>
      </c>
      <c r="H142" s="10" t="n">
        <v>48</v>
      </c>
      <c r="I142" s="10" t="n">
        <v>30</v>
      </c>
      <c r="J142" s="11" t="n">
        <v>4200</v>
      </c>
      <c r="K142" s="11" t="n">
        <v>11000</v>
      </c>
      <c r="L142" s="11">
        <f>H142*J142</f>
        <v/>
      </c>
      <c r="M142" s="20">
        <f>IF(H142&lt;=I142, "REORDER NOW", "HEALTHY")</f>
        <v/>
      </c>
    </row>
    <row r="143" ht="19" customHeight="1">
      <c r="A143" s="21" t="inlineStr">
        <is>
          <t>PD-010-M</t>
        </is>
      </c>
      <c r="B143" s="21" t="inlineStr">
        <is>
          <t>PD-010</t>
        </is>
      </c>
      <c r="C143" s="12" t="inlineStr">
        <is>
          <t>Noir Tailored Blazer</t>
        </is>
      </c>
      <c r="D143" s="12" t="inlineStr">
        <is>
          <t>Outerwear</t>
        </is>
      </c>
      <c r="E143" s="21" t="inlineStr">
        <is>
          <t>M</t>
        </is>
      </c>
      <c r="F143" s="21" t="inlineStr">
        <is>
          <t>WH-HYD-01</t>
        </is>
      </c>
      <c r="G143" s="12" t="inlineStr">
        <is>
          <t>Hyderabad (Telangana)</t>
        </is>
      </c>
      <c r="H143" s="13" t="n">
        <v>110</v>
      </c>
      <c r="I143" s="13" t="n">
        <v>30</v>
      </c>
      <c r="J143" s="14" t="n">
        <v>4200</v>
      </c>
      <c r="K143" s="14" t="n">
        <v>11000</v>
      </c>
      <c r="L143" s="14">
        <f>H143*J143</f>
        <v/>
      </c>
      <c r="M143" s="21">
        <f>IF(H143&lt;=I143, "REORDER NOW", "HEALTHY")</f>
        <v/>
      </c>
    </row>
    <row r="144" ht="19" customHeight="1">
      <c r="A144" s="20" t="inlineStr">
        <is>
          <t>PD-010-M</t>
        </is>
      </c>
      <c r="B144" s="20" t="inlineStr">
        <is>
          <t>PD-010</t>
        </is>
      </c>
      <c r="C144" s="9" t="inlineStr">
        <is>
          <t>Noir Tailored Blazer</t>
        </is>
      </c>
      <c r="D144" s="9" t="inlineStr">
        <is>
          <t>Outerwear</t>
        </is>
      </c>
      <c r="E144" s="20" t="inlineStr">
        <is>
          <t>M</t>
        </is>
      </c>
      <c r="F144" s="20" t="inlineStr">
        <is>
          <t>WH-BLR-02</t>
        </is>
      </c>
      <c r="G144" s="9" t="inlineStr">
        <is>
          <t>Bengaluru (Karnataka)</t>
        </is>
      </c>
      <c r="H144" s="10" t="n">
        <v>89</v>
      </c>
      <c r="I144" s="10" t="n">
        <v>30</v>
      </c>
      <c r="J144" s="11" t="n">
        <v>4200</v>
      </c>
      <c r="K144" s="11" t="n">
        <v>11000</v>
      </c>
      <c r="L144" s="11">
        <f>H144*J144</f>
        <v/>
      </c>
      <c r="M144" s="20">
        <f>IF(H144&lt;=I144, "REORDER NOW", "HEALTHY")</f>
        <v/>
      </c>
    </row>
    <row r="145" ht="19" customHeight="1">
      <c r="A145" s="21" t="inlineStr">
        <is>
          <t>PD-010-M</t>
        </is>
      </c>
      <c r="B145" s="21" t="inlineStr">
        <is>
          <t>PD-010</t>
        </is>
      </c>
      <c r="C145" s="12" t="inlineStr">
        <is>
          <t>Noir Tailored Blazer</t>
        </is>
      </c>
      <c r="D145" s="12" t="inlineStr">
        <is>
          <t>Outerwear</t>
        </is>
      </c>
      <c r="E145" s="21" t="inlineStr">
        <is>
          <t>M</t>
        </is>
      </c>
      <c r="F145" s="21" t="inlineStr">
        <is>
          <t>WH-DEL-03</t>
        </is>
      </c>
      <c r="G145" s="12" t="inlineStr">
        <is>
          <t>Delhi NCR (Haryana)</t>
        </is>
      </c>
      <c r="H145" s="13" t="n">
        <v>69</v>
      </c>
      <c r="I145" s="13" t="n">
        <v>30</v>
      </c>
      <c r="J145" s="14" t="n">
        <v>4200</v>
      </c>
      <c r="K145" s="14" t="n">
        <v>11000</v>
      </c>
      <c r="L145" s="14">
        <f>H145*J145</f>
        <v/>
      </c>
      <c r="M145" s="21">
        <f>IF(H145&lt;=I145, "REORDER NOW", "HEALTHY")</f>
        <v/>
      </c>
    </row>
    <row r="146" ht="19" customHeight="1">
      <c r="A146" s="20" t="inlineStr">
        <is>
          <t>PD-010-L</t>
        </is>
      </c>
      <c r="B146" s="20" t="inlineStr">
        <is>
          <t>PD-010</t>
        </is>
      </c>
      <c r="C146" s="9" t="inlineStr">
        <is>
          <t>Noir Tailored Blazer</t>
        </is>
      </c>
      <c r="D146" s="9" t="inlineStr">
        <is>
          <t>Outerwear</t>
        </is>
      </c>
      <c r="E146" s="20" t="inlineStr">
        <is>
          <t>L</t>
        </is>
      </c>
      <c r="F146" s="20" t="inlineStr">
        <is>
          <t>WH-HYD-01</t>
        </is>
      </c>
      <c r="G146" s="9" t="inlineStr">
        <is>
          <t>Hyderabad (Telangana)</t>
        </is>
      </c>
      <c r="H146" s="10" t="n">
        <v>89</v>
      </c>
      <c r="I146" s="10" t="n">
        <v>30</v>
      </c>
      <c r="J146" s="11" t="n">
        <v>4200</v>
      </c>
      <c r="K146" s="11" t="n">
        <v>11000</v>
      </c>
      <c r="L146" s="11">
        <f>H146*J146</f>
        <v/>
      </c>
      <c r="M146" s="20">
        <f>IF(H146&lt;=I146, "REORDER NOW", "HEALTHY")</f>
        <v/>
      </c>
    </row>
    <row r="147" ht="19" customHeight="1">
      <c r="A147" s="21" t="inlineStr">
        <is>
          <t>PD-010-L</t>
        </is>
      </c>
      <c r="B147" s="21" t="inlineStr">
        <is>
          <t>PD-010</t>
        </is>
      </c>
      <c r="C147" s="12" t="inlineStr">
        <is>
          <t>Noir Tailored Blazer</t>
        </is>
      </c>
      <c r="D147" s="12" t="inlineStr">
        <is>
          <t>Outerwear</t>
        </is>
      </c>
      <c r="E147" s="21" t="inlineStr">
        <is>
          <t>L</t>
        </is>
      </c>
      <c r="F147" s="21" t="inlineStr">
        <is>
          <t>WH-BLR-02</t>
        </is>
      </c>
      <c r="G147" s="12" t="inlineStr">
        <is>
          <t>Bengaluru (Karnataka)</t>
        </is>
      </c>
      <c r="H147" s="13" t="n">
        <v>66</v>
      </c>
      <c r="I147" s="13" t="n">
        <v>30</v>
      </c>
      <c r="J147" s="14" t="n">
        <v>4200</v>
      </c>
      <c r="K147" s="14" t="n">
        <v>11000</v>
      </c>
      <c r="L147" s="14">
        <f>H147*J147</f>
        <v/>
      </c>
      <c r="M147" s="21">
        <f>IF(H147&lt;=I147, "REORDER NOW", "HEALTHY")</f>
        <v/>
      </c>
    </row>
    <row r="148" ht="19" customHeight="1">
      <c r="A148" s="20" t="inlineStr">
        <is>
          <t>PD-010-L</t>
        </is>
      </c>
      <c r="B148" s="20" t="inlineStr">
        <is>
          <t>PD-010</t>
        </is>
      </c>
      <c r="C148" s="9" t="inlineStr">
        <is>
          <t>Noir Tailored Blazer</t>
        </is>
      </c>
      <c r="D148" s="9" t="inlineStr">
        <is>
          <t>Outerwear</t>
        </is>
      </c>
      <c r="E148" s="20" t="inlineStr">
        <is>
          <t>L</t>
        </is>
      </c>
      <c r="F148" s="20" t="inlineStr">
        <is>
          <t>WH-DEL-03</t>
        </is>
      </c>
      <c r="G148" s="9" t="inlineStr">
        <is>
          <t>Delhi NCR (Haryana)</t>
        </is>
      </c>
      <c r="H148" s="10" t="n">
        <v>61</v>
      </c>
      <c r="I148" s="10" t="n">
        <v>30</v>
      </c>
      <c r="J148" s="11" t="n">
        <v>4200</v>
      </c>
      <c r="K148" s="11" t="n">
        <v>11000</v>
      </c>
      <c r="L148" s="11">
        <f>H148*J148</f>
        <v/>
      </c>
      <c r="M148" s="20">
        <f>IF(H148&lt;=I148, "REORDER NOW", "HEALTHY")</f>
        <v/>
      </c>
    </row>
    <row r="149" ht="19" customHeight="1">
      <c r="A149" s="21" t="inlineStr">
        <is>
          <t>PD-010-XL</t>
        </is>
      </c>
      <c r="B149" s="21" t="inlineStr">
        <is>
          <t>PD-010</t>
        </is>
      </c>
      <c r="C149" s="12" t="inlineStr">
        <is>
          <t>Noir Tailored Blazer</t>
        </is>
      </c>
      <c r="D149" s="12" t="inlineStr">
        <is>
          <t>Outerwear</t>
        </is>
      </c>
      <c r="E149" s="21" t="inlineStr">
        <is>
          <t>XL</t>
        </is>
      </c>
      <c r="F149" s="21" t="inlineStr">
        <is>
          <t>WH-HYD-01</t>
        </is>
      </c>
      <c r="G149" s="12" t="inlineStr">
        <is>
          <t>Hyderabad (Telangana)</t>
        </is>
      </c>
      <c r="H149" s="13" t="n">
        <v>43</v>
      </c>
      <c r="I149" s="13" t="n">
        <v>30</v>
      </c>
      <c r="J149" s="14" t="n">
        <v>4200</v>
      </c>
      <c r="K149" s="14" t="n">
        <v>11000</v>
      </c>
      <c r="L149" s="14">
        <f>H149*J149</f>
        <v/>
      </c>
      <c r="M149" s="21">
        <f>IF(H149&lt;=I149, "REORDER NOW", "HEALTHY")</f>
        <v/>
      </c>
    </row>
    <row r="150" ht="19" customHeight="1">
      <c r="A150" s="20" t="inlineStr">
        <is>
          <t>PD-010-XL</t>
        </is>
      </c>
      <c r="B150" s="20" t="inlineStr">
        <is>
          <t>PD-010</t>
        </is>
      </c>
      <c r="C150" s="9" t="inlineStr">
        <is>
          <t>Noir Tailored Blazer</t>
        </is>
      </c>
      <c r="D150" s="9" t="inlineStr">
        <is>
          <t>Outerwear</t>
        </is>
      </c>
      <c r="E150" s="20" t="inlineStr">
        <is>
          <t>XL</t>
        </is>
      </c>
      <c r="F150" s="20" t="inlineStr">
        <is>
          <t>WH-BLR-02</t>
        </is>
      </c>
      <c r="G150" s="9" t="inlineStr">
        <is>
          <t>Bengaluru (Karnataka)</t>
        </is>
      </c>
      <c r="H150" s="10" t="n">
        <v>32</v>
      </c>
      <c r="I150" s="10" t="n">
        <v>30</v>
      </c>
      <c r="J150" s="11" t="n">
        <v>4200</v>
      </c>
      <c r="K150" s="11" t="n">
        <v>11000</v>
      </c>
      <c r="L150" s="11">
        <f>H150*J150</f>
        <v/>
      </c>
      <c r="M150" s="20">
        <f>IF(H150&lt;=I150, "REORDER NOW", "HEALTHY")</f>
        <v/>
      </c>
    </row>
    <row r="151" ht="19" customHeight="1">
      <c r="A151" s="21" t="inlineStr">
        <is>
          <t>PD-010-XL</t>
        </is>
      </c>
      <c r="B151" s="21" t="inlineStr">
        <is>
          <t>PD-010</t>
        </is>
      </c>
      <c r="C151" s="12" t="inlineStr">
        <is>
          <t>Noir Tailored Blazer</t>
        </is>
      </c>
      <c r="D151" s="12" t="inlineStr">
        <is>
          <t>Outerwear</t>
        </is>
      </c>
      <c r="E151" s="21" t="inlineStr">
        <is>
          <t>XL</t>
        </is>
      </c>
      <c r="F151" s="21" t="inlineStr">
        <is>
          <t>WH-DEL-03</t>
        </is>
      </c>
      <c r="G151" s="12" t="inlineStr">
        <is>
          <t>Delhi NCR (Haryana)</t>
        </is>
      </c>
      <c r="H151" s="13" t="n">
        <v>80</v>
      </c>
      <c r="I151" s="13" t="n">
        <v>30</v>
      </c>
      <c r="J151" s="14" t="n">
        <v>4200</v>
      </c>
      <c r="K151" s="14" t="n">
        <v>11000</v>
      </c>
      <c r="L151" s="14">
        <f>H151*J151</f>
        <v/>
      </c>
      <c r="M151" s="21">
        <f>IF(H151&lt;=I151, "REORDER NOW", "HEALTHY")</f>
        <v/>
      </c>
    </row>
  </sheetData>
  <conditionalFormatting sqref="M2:M151">
    <cfRule type="cellIs" priority="1" operator="equal" dxfId="0" stopIfTrue="1">
      <formula>"REORDER NOW"</formula>
    </cfRule>
    <cfRule type="cellIs" priority="2" operator="equal" dxfId="1" stopIfTrue="1">
      <formula>"HEALTHY"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2026-07-15T11:29:11Z</dcterms:created>
  <dcterms:modified xmlns:dcterms="http://purl.org/dc/terms/" xmlns:xsi="http://www.w3.org/2001/XMLSchema-instance" xsi:type="dcterms:W3CDTF">2026-07-15T11:29:11Z</dcterms:modified>
</cp:coreProperties>
</file>